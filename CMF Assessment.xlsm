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gau\Downloads\"/>
    </mc:Choice>
  </mc:AlternateContent>
  <xr:revisionPtr revIDLastSave="0" documentId="13_ncr:1_{0E006537-42A5-4300-BE23-E646E0E5B02C}" xr6:coauthVersionLast="47" xr6:coauthVersionMax="47" xr10:uidLastSave="{00000000-0000-0000-0000-000000000000}"/>
  <bookViews>
    <workbookView xWindow="-23148" yWindow="-108" windowWidth="23256" windowHeight="12456" tabRatio="782" activeTab="6" xr2:uid="{797BB6D0-9E07-4B05-B24A-1E6F9AEBB896}"/>
  </bookViews>
  <sheets>
    <sheet name="Answer Report Q4" sheetId="6" r:id="rId1"/>
    <sheet name="Sensitivity Report Q4" sheetId="7" r:id="rId2"/>
    <sheet name="Limits Report Q4" sheetId="8" r:id="rId3"/>
    <sheet name="Answer Report Q6" sheetId="9" r:id="rId4"/>
    <sheet name="Sensitivity Report Q6" sheetId="10" r:id="rId5"/>
    <sheet name="Limits Report Q6" sheetId="11" r:id="rId6"/>
    <sheet name="Sheet1" sheetId="2" r:id="rId7"/>
  </sheets>
  <functionGroups builtInGroupCount="19"/>
  <definedNames>
    <definedName name="solver_adj" localSheetId="6" hidden="1">Sheet1!$J$31:$J$32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2147483647</definedName>
    <definedName name="solver_lhs1" localSheetId="6" hidden="1">Sheet1!$J$31:$J$32</definedName>
    <definedName name="solver_lhs2" localSheetId="6" hidden="1">Sheet1!$J$33</definedName>
    <definedName name="solver_lhs3" localSheetId="6" hidden="1">Sheet1!$J$23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2</definedName>
    <definedName name="solver_nwt" localSheetId="6" hidden="1">1</definedName>
    <definedName name="solver_opt" localSheetId="6" hidden="1">Sheet1!$J$37</definedName>
    <definedName name="solver_pre" localSheetId="6" hidden="1">0.000001</definedName>
    <definedName name="solver_rbv" localSheetId="6" hidden="1">1</definedName>
    <definedName name="solver_rel1" localSheetId="6" hidden="1">3</definedName>
    <definedName name="solver_rel2" localSheetId="6" hidden="1">2</definedName>
    <definedName name="solver_rel3" localSheetId="6" hidden="1">2</definedName>
    <definedName name="solver_rhs1" localSheetId="6" hidden="1">0</definedName>
    <definedName name="solver_rhs2" localSheetId="6" hidden="1">1</definedName>
    <definedName name="solver_rhs3" localSheetId="6" hidden="1">1</definedName>
    <definedName name="solver_rlx" localSheetId="6" hidden="1">2</definedName>
    <definedName name="solver_rsd" localSheetId="6" hidden="1">0</definedName>
    <definedName name="solver_scl" localSheetId="6" hidden="1">1</definedName>
    <definedName name="solver_sho" localSheetId="2" hidden="1">2</definedName>
    <definedName name="solver_sho" localSheetId="5" hidden="1">2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1</definedName>
    <definedName name="solver_val" localSheetId="6" hidden="1">0</definedName>
    <definedName name="solver_ver" localSheetId="6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2" i="2" l="1"/>
  <c r="M33" i="2"/>
  <c r="M34" i="2"/>
  <c r="M35" i="2"/>
  <c r="M36" i="2"/>
  <c r="M37" i="2"/>
  <c r="M38" i="2"/>
  <c r="M39" i="2"/>
  <c r="M40" i="2"/>
  <c r="M41" i="2"/>
  <c r="M31" i="2"/>
  <c r="N32" i="2"/>
  <c r="N33" i="2"/>
  <c r="N34" i="2"/>
  <c r="N35" i="2"/>
  <c r="N36" i="2"/>
  <c r="N37" i="2"/>
  <c r="N38" i="2"/>
  <c r="N39" i="2"/>
  <c r="N40" i="2"/>
  <c r="N41" i="2"/>
  <c r="N31" i="2"/>
  <c r="J43" i="2"/>
  <c r="J42" i="2"/>
  <c r="J40" i="2"/>
  <c r="I41" i="2" s="1"/>
  <c r="J36" i="2"/>
  <c r="J35" i="2" a="1"/>
  <c r="J35" i="2" s="1"/>
  <c r="J24" i="2" a="1"/>
  <c r="J24" i="2" s="1"/>
  <c r="J33" i="2" l="1"/>
  <c r="E2" i="2"/>
  <c r="F2" i="2"/>
  <c r="G2" i="2"/>
  <c r="E3" i="2"/>
  <c r="F3" i="2"/>
  <c r="G3" i="2"/>
  <c r="E4" i="2"/>
  <c r="F4" i="2"/>
  <c r="G4" i="2"/>
  <c r="E5" i="2"/>
  <c r="F5" i="2"/>
  <c r="G5" i="2"/>
  <c r="E6" i="2"/>
  <c r="F6" i="2"/>
  <c r="G6" i="2"/>
  <c r="E7" i="2"/>
  <c r="F7" i="2"/>
  <c r="G7" i="2"/>
  <c r="E8" i="2"/>
  <c r="F8" i="2"/>
  <c r="G8" i="2"/>
  <c r="E9" i="2"/>
  <c r="F9" i="2"/>
  <c r="G9" i="2"/>
  <c r="E10" i="2"/>
  <c r="F10" i="2"/>
  <c r="G10" i="2"/>
  <c r="E11" i="2"/>
  <c r="F11" i="2"/>
  <c r="G11" i="2"/>
  <c r="E12" i="2"/>
  <c r="F12" i="2"/>
  <c r="G12" i="2"/>
  <c r="E13" i="2"/>
  <c r="F13" i="2"/>
  <c r="G13" i="2"/>
  <c r="E14" i="2"/>
  <c r="F14" i="2"/>
  <c r="G14" i="2"/>
  <c r="E15" i="2"/>
  <c r="F15" i="2"/>
  <c r="G15" i="2"/>
  <c r="E16" i="2"/>
  <c r="F16" i="2"/>
  <c r="G16" i="2"/>
  <c r="E17" i="2"/>
  <c r="F17" i="2"/>
  <c r="G17" i="2"/>
  <c r="E18" i="2"/>
  <c r="F18" i="2"/>
  <c r="G18" i="2"/>
  <c r="E19" i="2"/>
  <c r="F19" i="2"/>
  <c r="G19" i="2"/>
  <c r="E20" i="2"/>
  <c r="F20" i="2"/>
  <c r="G20" i="2"/>
  <c r="E21" i="2"/>
  <c r="F21" i="2"/>
  <c r="G21" i="2"/>
  <c r="E22" i="2"/>
  <c r="F22" i="2"/>
  <c r="G22" i="2"/>
  <c r="E23" i="2"/>
  <c r="F23" i="2"/>
  <c r="G23" i="2"/>
  <c r="E24" i="2"/>
  <c r="F24" i="2"/>
  <c r="G24" i="2"/>
  <c r="E25" i="2"/>
  <c r="F25" i="2"/>
  <c r="G25" i="2"/>
  <c r="E26" i="2"/>
  <c r="F26" i="2"/>
  <c r="G26" i="2"/>
  <c r="E27" i="2"/>
  <c r="F27" i="2"/>
  <c r="G27" i="2"/>
  <c r="E28" i="2"/>
  <c r="F28" i="2"/>
  <c r="G28" i="2"/>
  <c r="E29" i="2"/>
  <c r="F29" i="2"/>
  <c r="G29" i="2"/>
  <c r="E30" i="2"/>
  <c r="F30" i="2"/>
  <c r="G30" i="2"/>
  <c r="E31" i="2"/>
  <c r="F31" i="2"/>
  <c r="G31" i="2"/>
  <c r="E32" i="2"/>
  <c r="F32" i="2"/>
  <c r="G32" i="2"/>
  <c r="E33" i="2"/>
  <c r="F33" i="2"/>
  <c r="G33" i="2"/>
  <c r="E34" i="2"/>
  <c r="F34" i="2"/>
  <c r="G34" i="2"/>
  <c r="E35" i="2"/>
  <c r="F35" i="2"/>
  <c r="G35" i="2"/>
  <c r="E36" i="2"/>
  <c r="F36" i="2"/>
  <c r="G36" i="2"/>
  <c r="E37" i="2"/>
  <c r="F37" i="2"/>
  <c r="G37" i="2"/>
  <c r="E38" i="2"/>
  <c r="F38" i="2"/>
  <c r="G38" i="2"/>
  <c r="E39" i="2"/>
  <c r="F39" i="2"/>
  <c r="G39" i="2"/>
  <c r="E40" i="2"/>
  <c r="F40" i="2"/>
  <c r="G40" i="2"/>
  <c r="E41" i="2"/>
  <c r="F41" i="2"/>
  <c r="G41" i="2"/>
  <c r="E42" i="2"/>
  <c r="F42" i="2"/>
  <c r="G42" i="2"/>
  <c r="E43" i="2"/>
  <c r="F43" i="2"/>
  <c r="G43" i="2"/>
  <c r="E44" i="2"/>
  <c r="F44" i="2"/>
  <c r="G44" i="2"/>
  <c r="E45" i="2"/>
  <c r="F45" i="2"/>
  <c r="G45" i="2"/>
  <c r="E46" i="2"/>
  <c r="F46" i="2"/>
  <c r="G46" i="2"/>
  <c r="E47" i="2"/>
  <c r="F47" i="2"/>
  <c r="G47" i="2"/>
  <c r="E48" i="2"/>
  <c r="F48" i="2"/>
  <c r="G48" i="2"/>
  <c r="E49" i="2"/>
  <c r="F49" i="2"/>
  <c r="G49" i="2"/>
  <c r="E50" i="2"/>
  <c r="F50" i="2"/>
  <c r="G50" i="2"/>
  <c r="E51" i="2"/>
  <c r="F51" i="2"/>
  <c r="G51" i="2"/>
  <c r="E52" i="2"/>
  <c r="F52" i="2"/>
  <c r="G52" i="2"/>
  <c r="E53" i="2"/>
  <c r="F53" i="2"/>
  <c r="G53" i="2"/>
  <c r="E54" i="2"/>
  <c r="F54" i="2"/>
  <c r="G54" i="2"/>
  <c r="E55" i="2"/>
  <c r="F55" i="2"/>
  <c r="G55" i="2"/>
  <c r="E56" i="2"/>
  <c r="F56" i="2"/>
  <c r="G56" i="2"/>
  <c r="E57" i="2"/>
  <c r="F57" i="2"/>
  <c r="G57" i="2"/>
  <c r="E58" i="2"/>
  <c r="F58" i="2"/>
  <c r="G58" i="2"/>
  <c r="E59" i="2"/>
  <c r="F59" i="2"/>
  <c r="G59" i="2"/>
  <c r="E60" i="2"/>
  <c r="F60" i="2"/>
  <c r="G60" i="2"/>
  <c r="E61" i="2"/>
  <c r="F61" i="2"/>
  <c r="G61" i="2"/>
  <c r="E62" i="2"/>
  <c r="F62" i="2"/>
  <c r="G62" i="2"/>
  <c r="E63" i="2"/>
  <c r="F63" i="2"/>
  <c r="G63" i="2"/>
  <c r="E64" i="2"/>
  <c r="F64" i="2"/>
  <c r="G64" i="2"/>
  <c r="E65" i="2"/>
  <c r="F65" i="2"/>
  <c r="G65" i="2"/>
  <c r="E66" i="2"/>
  <c r="F66" i="2"/>
  <c r="G66" i="2"/>
  <c r="E67" i="2"/>
  <c r="F67" i="2"/>
  <c r="G67" i="2"/>
  <c r="E68" i="2"/>
  <c r="F68" i="2"/>
  <c r="G68" i="2"/>
  <c r="E69" i="2"/>
  <c r="F69" i="2"/>
  <c r="G69" i="2"/>
  <c r="E70" i="2"/>
  <c r="F70" i="2"/>
  <c r="G70" i="2"/>
  <c r="E71" i="2"/>
  <c r="F71" i="2"/>
  <c r="G71" i="2"/>
  <c r="E72" i="2"/>
  <c r="F72" i="2"/>
  <c r="G72" i="2"/>
  <c r="E73" i="2"/>
  <c r="F73" i="2"/>
  <c r="G73" i="2"/>
  <c r="E74" i="2"/>
  <c r="F74" i="2"/>
  <c r="G74" i="2"/>
  <c r="E75" i="2"/>
  <c r="F75" i="2"/>
  <c r="G75" i="2"/>
  <c r="E76" i="2"/>
  <c r="F76" i="2"/>
  <c r="G76" i="2"/>
  <c r="E77" i="2"/>
  <c r="F77" i="2"/>
  <c r="G77" i="2"/>
  <c r="E78" i="2"/>
  <c r="F78" i="2"/>
  <c r="G78" i="2"/>
  <c r="E79" i="2"/>
  <c r="F79" i="2"/>
  <c r="G79" i="2"/>
  <c r="E80" i="2"/>
  <c r="F80" i="2"/>
  <c r="G80" i="2"/>
  <c r="E81" i="2"/>
  <c r="F81" i="2"/>
  <c r="G81" i="2"/>
  <c r="E82" i="2"/>
  <c r="F82" i="2"/>
  <c r="G82" i="2"/>
  <c r="E83" i="2"/>
  <c r="F83" i="2"/>
  <c r="G83" i="2"/>
  <c r="E84" i="2"/>
  <c r="F84" i="2"/>
  <c r="G84" i="2"/>
  <c r="E85" i="2"/>
  <c r="F85" i="2"/>
  <c r="G85" i="2"/>
  <c r="E86" i="2"/>
  <c r="F86" i="2"/>
  <c r="G86" i="2"/>
  <c r="E87" i="2"/>
  <c r="F87" i="2"/>
  <c r="G87" i="2"/>
  <c r="E88" i="2"/>
  <c r="F88" i="2"/>
  <c r="G88" i="2"/>
  <c r="E89" i="2"/>
  <c r="F89" i="2"/>
  <c r="G89" i="2"/>
  <c r="E90" i="2"/>
  <c r="F90" i="2"/>
  <c r="G90" i="2"/>
  <c r="E91" i="2"/>
  <c r="F91" i="2"/>
  <c r="G91" i="2"/>
  <c r="E92" i="2"/>
  <c r="F92" i="2"/>
  <c r="G92" i="2"/>
  <c r="E93" i="2"/>
  <c r="F93" i="2"/>
  <c r="G93" i="2"/>
  <c r="E94" i="2"/>
  <c r="F94" i="2"/>
  <c r="G94" i="2"/>
  <c r="E95" i="2"/>
  <c r="F95" i="2"/>
  <c r="G95" i="2"/>
  <c r="E96" i="2"/>
  <c r="F96" i="2"/>
  <c r="G96" i="2"/>
  <c r="E97" i="2"/>
  <c r="F97" i="2"/>
  <c r="G97" i="2"/>
  <c r="E98" i="2"/>
  <c r="F98" i="2"/>
  <c r="G98" i="2"/>
  <c r="E99" i="2"/>
  <c r="F99" i="2"/>
  <c r="G99" i="2"/>
  <c r="E100" i="2"/>
  <c r="F100" i="2"/>
  <c r="G100" i="2"/>
  <c r="E101" i="2"/>
  <c r="F101" i="2"/>
  <c r="G101" i="2"/>
  <c r="E102" i="2"/>
  <c r="F102" i="2"/>
  <c r="G102" i="2"/>
  <c r="E103" i="2"/>
  <c r="F103" i="2"/>
  <c r="G103" i="2"/>
  <c r="E104" i="2"/>
  <c r="F104" i="2"/>
  <c r="G104" i="2"/>
  <c r="E105" i="2"/>
  <c r="F105" i="2"/>
  <c r="G105" i="2"/>
  <c r="E106" i="2"/>
  <c r="F106" i="2"/>
  <c r="G106" i="2"/>
  <c r="E107" i="2"/>
  <c r="F107" i="2"/>
  <c r="G107" i="2"/>
  <c r="E108" i="2"/>
  <c r="F108" i="2"/>
  <c r="G108" i="2"/>
  <c r="E109" i="2"/>
  <c r="F109" i="2"/>
  <c r="G109" i="2"/>
  <c r="E110" i="2"/>
  <c r="F110" i="2"/>
  <c r="G110" i="2"/>
  <c r="E111" i="2"/>
  <c r="F111" i="2"/>
  <c r="G111" i="2"/>
  <c r="E112" i="2"/>
  <c r="F112" i="2"/>
  <c r="G112" i="2"/>
  <c r="E113" i="2"/>
  <c r="F113" i="2"/>
  <c r="G113" i="2"/>
  <c r="E114" i="2"/>
  <c r="F114" i="2"/>
  <c r="G114" i="2"/>
  <c r="E115" i="2"/>
  <c r="F115" i="2"/>
  <c r="G115" i="2"/>
  <c r="E116" i="2"/>
  <c r="F116" i="2"/>
  <c r="G116" i="2"/>
  <c r="E117" i="2"/>
  <c r="F117" i="2"/>
  <c r="G117" i="2"/>
  <c r="E118" i="2"/>
  <c r="F118" i="2"/>
  <c r="G118" i="2"/>
  <c r="E119" i="2"/>
  <c r="F119" i="2"/>
  <c r="G119" i="2"/>
  <c r="E120" i="2"/>
  <c r="F120" i="2"/>
  <c r="G120" i="2"/>
  <c r="E121" i="2"/>
  <c r="F121" i="2"/>
  <c r="G121" i="2"/>
  <c r="E122" i="2"/>
  <c r="F122" i="2"/>
  <c r="G122" i="2"/>
  <c r="E123" i="2"/>
  <c r="F123" i="2"/>
  <c r="G123" i="2"/>
  <c r="E124" i="2"/>
  <c r="F124" i="2"/>
  <c r="G124" i="2"/>
  <c r="E125" i="2"/>
  <c r="F125" i="2"/>
  <c r="G125" i="2"/>
  <c r="E126" i="2"/>
  <c r="F126" i="2"/>
  <c r="G126" i="2"/>
  <c r="J2" i="2"/>
  <c r="L6" i="2" s="1"/>
  <c r="J23" i="2"/>
  <c r="L16" i="2"/>
  <c r="L15" i="2"/>
  <c r="K15" i="2"/>
  <c r="J12" i="2" a="1"/>
  <c r="L12" i="2" a="1"/>
  <c r="K12" i="2" a="1"/>
  <c r="L11" i="2" a="1"/>
  <c r="K11" i="2" a="1"/>
  <c r="J15" i="2" l="1"/>
  <c r="L17" i="2"/>
  <c r="K16" i="2"/>
  <c r="L12" i="2"/>
  <c r="K12" i="2"/>
  <c r="J12" i="2"/>
  <c r="L11" i="2"/>
  <c r="K11" i="2"/>
  <c r="J8" i="2"/>
  <c r="L8" i="2"/>
  <c r="K6" i="2"/>
  <c r="J6" i="2"/>
  <c r="K8" i="2"/>
  <c r="J5" i="2"/>
  <c r="L5" i="2"/>
  <c r="K5" i="2"/>
  <c r="J7" i="2"/>
  <c r="K7" i="2"/>
  <c r="L7" i="2"/>
  <c r="J11" i="2" a="1"/>
  <c r="J11" i="2" l="1"/>
  <c r="J37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<sst xmlns="http://schemas.openxmlformats.org/spreadsheetml/2006/main" count="267" uniqueCount="102">
  <si>
    <t>Date</t>
  </si>
  <si>
    <t>HPQ</t>
  </si>
  <si>
    <t>IBM</t>
  </si>
  <si>
    <t>MAR</t>
  </si>
  <si>
    <t>HPQ Return</t>
  </si>
  <si>
    <t>IBM Return</t>
  </si>
  <si>
    <t>MAR Return</t>
  </si>
  <si>
    <t xml:space="preserve">Average Daily Return </t>
  </si>
  <si>
    <t>CAGR</t>
  </si>
  <si>
    <t>Daily Volatility</t>
  </si>
  <si>
    <t>Annualized Volatility</t>
  </si>
  <si>
    <t>Covariance Matrix</t>
  </si>
  <si>
    <t>Weight</t>
  </si>
  <si>
    <t>Stock</t>
  </si>
  <si>
    <t>Total</t>
  </si>
  <si>
    <t>T-bill</t>
  </si>
  <si>
    <t>Rate</t>
  </si>
  <si>
    <t>Source</t>
  </si>
  <si>
    <t>Selected Days</t>
  </si>
  <si>
    <t>Annual Trading Days</t>
  </si>
  <si>
    <t>GMVP</t>
  </si>
  <si>
    <t>U.S. Department of the Treasury</t>
  </si>
  <si>
    <t>URL</t>
  </si>
  <si>
    <t>https://home.treasury.gov/resource-center/data-chart-center/interest-rates/TextView?type=daily_treasury_bill_rates&amp;field_tdr_date_value=2025</t>
  </si>
  <si>
    <t>26-week T-bill*</t>
  </si>
  <si>
    <t>* As on 02/10/2025</t>
  </si>
  <si>
    <t>Using VBA</t>
  </si>
  <si>
    <t>Using Excel Formula</t>
  </si>
  <si>
    <t>Portfolio Return</t>
  </si>
  <si>
    <t>Portfolio Volatility</t>
  </si>
  <si>
    <t>Microsoft Excel 16.0 Answer Report</t>
  </si>
  <si>
    <t>Result: Solver found a solution.  All Constraints and optimality conditions are satisfied.</t>
  </si>
  <si>
    <t>Solver Engine</t>
  </si>
  <si>
    <t>Engine: GRG Nonlinear</t>
  </si>
  <si>
    <t>Solver Options</t>
  </si>
  <si>
    <t>Max Time Unlimited,  Iterations Unlimited, Precision 0.000001, Use Automatic Scaling</t>
  </si>
  <si>
    <t xml:space="preserve"> Convergence 0.0001, Population Size 100, Random Seed 0, Derivatives Forward, Require Bounds</t>
  </si>
  <si>
    <t>Max Subproblems Unlimited, Max Integer Sols Unlimited, Integer Tolerance 1%, Assume NonNegative</t>
  </si>
  <si>
    <t>Objective Cell (Min)</t>
  </si>
  <si>
    <t>Cell</t>
  </si>
  <si>
    <t>Name</t>
  </si>
  <si>
    <t>Original Value</t>
  </si>
  <si>
    <t>Final Value</t>
  </si>
  <si>
    <t>Variable Cells</t>
  </si>
  <si>
    <t>Integer</t>
  </si>
  <si>
    <t>Constraints</t>
  </si>
  <si>
    <t>Cell Value</t>
  </si>
  <si>
    <t>Formula</t>
  </si>
  <si>
    <t>Status</t>
  </si>
  <si>
    <t>Slack</t>
  </si>
  <si>
    <t>$J$24</t>
  </si>
  <si>
    <t>GMVP Weight</t>
  </si>
  <si>
    <t>$J$20</t>
  </si>
  <si>
    <t>HPQ Weight</t>
  </si>
  <si>
    <t>Contin</t>
  </si>
  <si>
    <t>$J$21</t>
  </si>
  <si>
    <t>IBM Weight</t>
  </si>
  <si>
    <t>$J$22</t>
  </si>
  <si>
    <t>MAR Weight</t>
  </si>
  <si>
    <t>$J$23</t>
  </si>
  <si>
    <t>Total Weight</t>
  </si>
  <si>
    <t>$J$23=1</t>
  </si>
  <si>
    <t>Binding</t>
  </si>
  <si>
    <t>Not Binding</t>
  </si>
  <si>
    <t>$J$20&gt;=0</t>
  </si>
  <si>
    <t>$J$21&gt;=0</t>
  </si>
  <si>
    <t>$J$22&gt;=0</t>
  </si>
  <si>
    <t>Microsoft Excel 16.0 Sensitivity Report</t>
  </si>
  <si>
    <t>Final</t>
  </si>
  <si>
    <t>Value</t>
  </si>
  <si>
    <t>Reduced</t>
  </si>
  <si>
    <t>Gradient</t>
  </si>
  <si>
    <t>Lagrange</t>
  </si>
  <si>
    <t>Multiplier</t>
  </si>
  <si>
    <t>Microsoft Excel 16.0 Limits Report</t>
  </si>
  <si>
    <t>Objective</t>
  </si>
  <si>
    <t>Variable</t>
  </si>
  <si>
    <t>Lower</t>
  </si>
  <si>
    <t>Limit</t>
  </si>
  <si>
    <t>Result</t>
  </si>
  <si>
    <t>Upper</t>
  </si>
  <si>
    <t>Worksheet: [CMF Assessment.xlsm]Sheet1</t>
  </si>
  <si>
    <t>Report Created: 3/10/2025 11:01:01 PM</t>
  </si>
  <si>
    <t>Solution Time: 0.047 Seconds.</t>
  </si>
  <si>
    <t>Iterations: 3 Subproblems: 0</t>
  </si>
  <si>
    <t>Report Created: 3/10/2025 11:01:02 PM</t>
  </si>
  <si>
    <t>Report Created: 3/10/2025 11:05:11 PM</t>
  </si>
  <si>
    <t>Objective Cell (Max)</t>
  </si>
  <si>
    <t>$J$37</t>
  </si>
  <si>
    <t>Sharpe Ratio Weight</t>
  </si>
  <si>
    <t>$J$31</t>
  </si>
  <si>
    <t>$J$32</t>
  </si>
  <si>
    <t>$J$33</t>
  </si>
  <si>
    <t>$J$33=1</t>
  </si>
  <si>
    <t>$J$31&gt;=0</t>
  </si>
  <si>
    <t>$J$32&gt;=0</t>
  </si>
  <si>
    <t>Maximized Sharpe Ratio</t>
  </si>
  <si>
    <t>Assumed Risk Aversion</t>
  </si>
  <si>
    <t>Return of OCP</t>
  </si>
  <si>
    <t>Standard Deviation of OCP</t>
  </si>
  <si>
    <t>Proportion of funds in ORP</t>
  </si>
  <si>
    <t>SD of OCP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</si>
</sst>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%"/>
    <numFmt numFmtId="166" formatCode="0.0000%"/>
    <numFmt numFmtId="169" formatCode="0.000000000"/>
    <numFmt numFmtId="173" formatCode="0.00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indexed="1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</borders>
  <cellStyleXfs count="44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32">
    <xf numFmtId="0" fontId="0" fillId="0" borderId="0" xfId="0"/>
    <xf numFmtId="14" fontId="0" fillId="0" borderId="0" xfId="0" applyNumberFormat="1"/>
    <xf numFmtId="4" fontId="0" fillId="0" borderId="0" xfId="0" applyNumberFormat="1"/>
    <xf numFmtId="164" fontId="0" fillId="0" borderId="0" xfId="0" applyNumberFormat="1"/>
    <xf numFmtId="10" fontId="0" fillId="0" borderId="0" xfId="1" applyNumberFormat="1" applyFont="1"/>
    <xf numFmtId="165" fontId="0" fillId="0" borderId="0" xfId="1" applyNumberFormat="1" applyFont="1"/>
    <xf numFmtId="166" fontId="0" fillId="0" borderId="0" xfId="1" applyNumberFormat="1" applyFont="1"/>
    <xf numFmtId="0" fontId="0" fillId="0" borderId="10" xfId="0" applyBorder="1"/>
    <xf numFmtId="0" fontId="16" fillId="0" borderId="0" xfId="0" applyFont="1"/>
    <xf numFmtId="0" fontId="16" fillId="0" borderId="0" xfId="0" applyFont="1" applyAlignment="1">
      <alignment horizontal="center"/>
    </xf>
    <xf numFmtId="0" fontId="16" fillId="0" borderId="11" xfId="0" applyFont="1" applyBorder="1" applyAlignment="1">
      <alignment horizontal="left"/>
    </xf>
    <xf numFmtId="0" fontId="0" fillId="0" borderId="11" xfId="0" applyBorder="1" applyAlignment="1">
      <alignment horizontal="center"/>
    </xf>
    <xf numFmtId="0" fontId="0" fillId="0" borderId="12" xfId="0" applyBorder="1"/>
    <xf numFmtId="0" fontId="18" fillId="0" borderId="0" xfId="43"/>
    <xf numFmtId="0" fontId="0" fillId="0" borderId="13" xfId="0" applyBorder="1"/>
    <xf numFmtId="164" fontId="0" fillId="0" borderId="12" xfId="0" applyNumberFormat="1" applyBorder="1"/>
    <xf numFmtId="0" fontId="0" fillId="0" borderId="17" xfId="0" applyFill="1" applyBorder="1" applyAlignment="1"/>
    <xf numFmtId="0" fontId="19" fillId="0" borderId="16" xfId="0" applyFont="1" applyFill="1" applyBorder="1" applyAlignment="1">
      <alignment horizontal="center"/>
    </xf>
    <xf numFmtId="0" fontId="0" fillId="0" borderId="18" xfId="0" applyFill="1" applyBorder="1" applyAlignment="1"/>
    <xf numFmtId="164" fontId="0" fillId="0" borderId="17" xfId="0" applyNumberFormat="1" applyFill="1" applyBorder="1" applyAlignment="1"/>
    <xf numFmtId="164" fontId="0" fillId="0" borderId="18" xfId="0" applyNumberFormat="1" applyFill="1" applyBorder="1" applyAlignment="1"/>
    <xf numFmtId="0" fontId="0" fillId="0" borderId="17" xfId="0" applyNumberFormat="1" applyFill="1" applyBorder="1" applyAlignment="1"/>
    <xf numFmtId="0" fontId="0" fillId="0" borderId="18" xfId="0" applyNumberFormat="1" applyFill="1" applyBorder="1" applyAlignment="1"/>
    <xf numFmtId="0" fontId="19" fillId="0" borderId="14" xfId="0" applyFont="1" applyFill="1" applyBorder="1" applyAlignment="1">
      <alignment horizontal="center"/>
    </xf>
    <xf numFmtId="0" fontId="19" fillId="0" borderId="15" xfId="0" applyFont="1" applyFill="1" applyBorder="1" applyAlignment="1">
      <alignment horizontal="center"/>
    </xf>
    <xf numFmtId="169" fontId="0" fillId="0" borderId="0" xfId="0" applyNumberFormat="1"/>
    <xf numFmtId="173" fontId="0" fillId="0" borderId="0" xfId="0" applyNumberFormat="1" applyFill="1" applyBorder="1" applyAlignment="1"/>
    <xf numFmtId="173" fontId="0" fillId="0" borderId="0" xfId="0" applyNumberFormat="1"/>
    <xf numFmtId="173" fontId="0" fillId="0" borderId="10" xfId="0" applyNumberFormat="1" applyFill="1" applyBorder="1" applyAlignment="1"/>
    <xf numFmtId="164" fontId="0" fillId="0" borderId="13" xfId="0" applyNumberFormat="1" applyBorder="1"/>
    <xf numFmtId="9" fontId="0" fillId="0" borderId="0" xfId="0" applyNumberFormat="1"/>
    <xf numFmtId="10" fontId="0" fillId="0" borderId="0" xfId="0" applyNumberFormat="1"/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43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Capital Allocation 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Sheet1!$N$30</c:f>
              <c:strCache>
                <c:ptCount val="1"/>
                <c:pt idx="0">
                  <c:v>Return of OCP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Sheet1!$M$31:$M$41</c:f>
              <c:numCache>
                <c:formatCode>0.00%</c:formatCode>
                <c:ptCount val="11"/>
                <c:pt idx="0">
                  <c:v>0</c:v>
                </c:pt>
                <c:pt idx="1">
                  <c:v>1.6936821233663059E-2</c:v>
                </c:pt>
                <c:pt idx="2">
                  <c:v>3.3873642467326118E-2</c:v>
                </c:pt>
                <c:pt idx="3">
                  <c:v>5.081046370098917E-2</c:v>
                </c:pt>
                <c:pt idx="4">
                  <c:v>6.7747284934652235E-2</c:v>
                </c:pt>
                <c:pt idx="5">
                  <c:v>8.4684106168315287E-2</c:v>
                </c:pt>
                <c:pt idx="6">
                  <c:v>0.10162092740197834</c:v>
                </c:pt>
                <c:pt idx="7">
                  <c:v>0.11855774863564139</c:v>
                </c:pt>
                <c:pt idx="8">
                  <c:v>0.13549456986930447</c:v>
                </c:pt>
                <c:pt idx="9">
                  <c:v>0.15243139110296752</c:v>
                </c:pt>
                <c:pt idx="10">
                  <c:v>0.16936821233663057</c:v>
                </c:pt>
              </c:numCache>
            </c:numRef>
          </c:xVal>
          <c:yVal>
            <c:numRef>
              <c:f>Sheet1!$N$31:$N$41</c:f>
              <c:numCache>
                <c:formatCode>0.00%</c:formatCode>
                <c:ptCount val="11"/>
                <c:pt idx="0">
                  <c:v>4.36E-2</c:v>
                </c:pt>
                <c:pt idx="1">
                  <c:v>0.11228802248175887</c:v>
                </c:pt>
                <c:pt idx="2">
                  <c:v>0.18097604496351771</c:v>
                </c:pt>
                <c:pt idx="3">
                  <c:v>0.24966406744527656</c:v>
                </c:pt>
                <c:pt idx="4">
                  <c:v>0.31835208992703545</c:v>
                </c:pt>
                <c:pt idx="5">
                  <c:v>0.38704011240879427</c:v>
                </c:pt>
                <c:pt idx="6">
                  <c:v>0.45572813489055314</c:v>
                </c:pt>
                <c:pt idx="7">
                  <c:v>0.52441615737231195</c:v>
                </c:pt>
                <c:pt idx="8">
                  <c:v>0.59310417985407082</c:v>
                </c:pt>
                <c:pt idx="9">
                  <c:v>0.6617922023358298</c:v>
                </c:pt>
                <c:pt idx="10">
                  <c:v>0.73048022481758856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0C-4615-B6DA-F70CEEAF6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736031"/>
        <c:axId val="746741791"/>
      </c:scatterChart>
      <c:valAx>
        <c:axId val="7467360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 Risk (Standard</a:t>
                </a:r>
                <a:r>
                  <a:rPr lang="en-US" baseline="0"/>
                  <a:t> Deviation)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741791"/>
        <c:crosses val="autoZero"/>
        <c:crossBetween val="midCat"/>
      </c:valAx>
      <c:valAx>
        <c:axId val="746741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Return of Portfolio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7360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44</xdr:row>
      <xdr:rowOff>0</xdr:rowOff>
    </xdr:from>
    <xdr:to>
      <xdr:col>14</xdr:col>
      <xdr:colOff>0</xdr:colOff>
      <xdr:row>63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342682-E070-6936-7000-04885295CD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home.treasury.gov/resource-center/data-chart-center/interest-rates/TextView?type=daily_treasury_bill_rates&amp;field_tdr_date_value=202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FFA8B-A9BD-4DC2-A11B-44BB036DC41C}">
  <dimension ref="A1:G31"/>
  <sheetViews>
    <sheetView showGridLines="0" workbookViewId="0">
      <selection activeCell="K20" sqref="K20"/>
    </sheetView>
  </sheetViews>
  <sheetFormatPr defaultRowHeight="15" x14ac:dyDescent="0.25"/>
  <cols>
    <col min="1" max="1" width="2.28515625" customWidth="1"/>
    <col min="2" max="2" width="5.85546875" bestFit="1" customWidth="1"/>
    <col min="3" max="3" width="13.42578125" bestFit="1" customWidth="1"/>
    <col min="4" max="4" width="13.7109375" bestFit="1" customWidth="1"/>
    <col min="5" max="5" width="12.42578125" bestFit="1" customWidth="1"/>
    <col min="6" max="6" width="11.42578125" bestFit="1" customWidth="1"/>
    <col min="7" max="7" width="12.42578125" bestFit="1" customWidth="1"/>
  </cols>
  <sheetData>
    <row r="1" spans="1:5" x14ac:dyDescent="0.25">
      <c r="A1" s="8" t="s">
        <v>30</v>
      </c>
    </row>
    <row r="2" spans="1:5" x14ac:dyDescent="0.25">
      <c r="A2" s="8" t="s">
        <v>81</v>
      </c>
    </row>
    <row r="3" spans="1:5" x14ac:dyDescent="0.25">
      <c r="A3" s="8" t="s">
        <v>82</v>
      </c>
    </row>
    <row r="4" spans="1:5" x14ac:dyDescent="0.25">
      <c r="A4" s="8" t="s">
        <v>31</v>
      </c>
    </row>
    <row r="5" spans="1:5" x14ac:dyDescent="0.25">
      <c r="A5" s="8" t="s">
        <v>32</v>
      </c>
    </row>
    <row r="6" spans="1:5" x14ac:dyDescent="0.25">
      <c r="A6" s="8"/>
      <c r="B6" t="s">
        <v>33</v>
      </c>
    </row>
    <row r="7" spans="1:5" x14ac:dyDescent="0.25">
      <c r="A7" s="8"/>
      <c r="B7" t="s">
        <v>83</v>
      </c>
    </row>
    <row r="8" spans="1:5" x14ac:dyDescent="0.25">
      <c r="A8" s="8"/>
      <c r="B8" t="s">
        <v>84</v>
      </c>
    </row>
    <row r="9" spans="1:5" x14ac:dyDescent="0.25">
      <c r="A9" s="8" t="s">
        <v>34</v>
      </c>
    </row>
    <row r="10" spans="1:5" x14ac:dyDescent="0.25">
      <c r="B10" t="s">
        <v>35</v>
      </c>
    </row>
    <row r="11" spans="1:5" x14ac:dyDescent="0.25">
      <c r="B11" t="s">
        <v>36</v>
      </c>
    </row>
    <row r="12" spans="1:5" x14ac:dyDescent="0.25">
      <c r="B12" t="s">
        <v>37</v>
      </c>
    </row>
    <row r="14" spans="1:5" ht="15.75" thickBot="1" x14ac:dyDescent="0.3">
      <c r="A14" t="s">
        <v>38</v>
      </c>
    </row>
    <row r="15" spans="1:5" ht="15.75" thickBot="1" x14ac:dyDescent="0.3">
      <c r="B15" s="17" t="s">
        <v>39</v>
      </c>
      <c r="C15" s="17" t="s">
        <v>40</v>
      </c>
      <c r="D15" s="17" t="s">
        <v>41</v>
      </c>
      <c r="E15" s="17" t="s">
        <v>42</v>
      </c>
    </row>
    <row r="16" spans="1:5" ht="15.75" thickBot="1" x14ac:dyDescent="0.3">
      <c r="B16" s="16" t="s">
        <v>50</v>
      </c>
      <c r="C16" s="16" t="s">
        <v>51</v>
      </c>
      <c r="D16" s="19">
        <v>3.1927889380671282E-4</v>
      </c>
      <c r="E16" s="19">
        <v>1.1899407249639137E-4</v>
      </c>
    </row>
    <row r="19" spans="1:7" ht="15.75" thickBot="1" x14ac:dyDescent="0.3">
      <c r="A19" t="s">
        <v>43</v>
      </c>
    </row>
    <row r="20" spans="1:7" ht="15.75" thickBot="1" x14ac:dyDescent="0.3">
      <c r="B20" s="17" t="s">
        <v>39</v>
      </c>
      <c r="C20" s="17" t="s">
        <v>40</v>
      </c>
      <c r="D20" s="17" t="s">
        <v>41</v>
      </c>
      <c r="E20" s="17" t="s">
        <v>42</v>
      </c>
      <c r="F20" s="17" t="s">
        <v>44</v>
      </c>
    </row>
    <row r="21" spans="1:7" x14ac:dyDescent="0.25">
      <c r="B21" s="18" t="s">
        <v>52</v>
      </c>
      <c r="C21" s="18" t="s">
        <v>53</v>
      </c>
      <c r="D21" s="20">
        <v>0.96105357092874744</v>
      </c>
      <c r="E21" s="20">
        <v>0.18056457388631453</v>
      </c>
      <c r="F21" s="18" t="s">
        <v>54</v>
      </c>
    </row>
    <row r="22" spans="1:7" x14ac:dyDescent="0.25">
      <c r="B22" s="18" t="s">
        <v>55</v>
      </c>
      <c r="C22" s="18" t="s">
        <v>56</v>
      </c>
      <c r="D22" s="20">
        <v>3.8946429071281707E-2</v>
      </c>
      <c r="E22" s="20">
        <v>0.30278926311601417</v>
      </c>
      <c r="F22" s="18" t="s">
        <v>54</v>
      </c>
    </row>
    <row r="23" spans="1:7" ht="15.75" thickBot="1" x14ac:dyDescent="0.3">
      <c r="B23" s="16" t="s">
        <v>57</v>
      </c>
      <c r="C23" s="16" t="s">
        <v>58</v>
      </c>
      <c r="D23" s="21">
        <v>0</v>
      </c>
      <c r="E23" s="21">
        <v>0.5166461574877832</v>
      </c>
      <c r="F23" s="16" t="s">
        <v>54</v>
      </c>
    </row>
    <row r="26" spans="1:7" ht="15.75" thickBot="1" x14ac:dyDescent="0.3">
      <c r="A26" t="s">
        <v>45</v>
      </c>
    </row>
    <row r="27" spans="1:7" ht="15.75" thickBot="1" x14ac:dyDescent="0.3">
      <c r="B27" s="17" t="s">
        <v>39</v>
      </c>
      <c r="C27" s="17" t="s">
        <v>40</v>
      </c>
      <c r="D27" s="17" t="s">
        <v>46</v>
      </c>
      <c r="E27" s="17" t="s">
        <v>47</v>
      </c>
      <c r="F27" s="17" t="s">
        <v>48</v>
      </c>
      <c r="G27" s="17" t="s">
        <v>49</v>
      </c>
    </row>
    <row r="28" spans="1:7" x14ac:dyDescent="0.25">
      <c r="B28" s="18" t="s">
        <v>59</v>
      </c>
      <c r="C28" s="18" t="s">
        <v>60</v>
      </c>
      <c r="D28" s="22">
        <v>0.9999999944901119</v>
      </c>
      <c r="E28" s="18" t="s">
        <v>61</v>
      </c>
      <c r="F28" s="18" t="s">
        <v>62</v>
      </c>
      <c r="G28" s="18">
        <v>0</v>
      </c>
    </row>
    <row r="29" spans="1:7" x14ac:dyDescent="0.25">
      <c r="B29" s="18" t="s">
        <v>52</v>
      </c>
      <c r="C29" s="18" t="s">
        <v>53</v>
      </c>
      <c r="D29" s="20">
        <v>0.18056457388631453</v>
      </c>
      <c r="E29" s="18" t="s">
        <v>64</v>
      </c>
      <c r="F29" s="18" t="s">
        <v>63</v>
      </c>
      <c r="G29" s="20">
        <v>0.18056457388631453</v>
      </c>
    </row>
    <row r="30" spans="1:7" x14ac:dyDescent="0.25">
      <c r="B30" s="18" t="s">
        <v>55</v>
      </c>
      <c r="C30" s="18" t="s">
        <v>56</v>
      </c>
      <c r="D30" s="20">
        <v>0.30278926311601417</v>
      </c>
      <c r="E30" s="18" t="s">
        <v>65</v>
      </c>
      <c r="F30" s="18" t="s">
        <v>63</v>
      </c>
      <c r="G30" s="20">
        <v>0.30278926311601417</v>
      </c>
    </row>
    <row r="31" spans="1:7" ht="15.75" thickBot="1" x14ac:dyDescent="0.3">
      <c r="B31" s="16" t="s">
        <v>57</v>
      </c>
      <c r="C31" s="16" t="s">
        <v>58</v>
      </c>
      <c r="D31" s="21">
        <v>0.5166461574877832</v>
      </c>
      <c r="E31" s="16" t="s">
        <v>66</v>
      </c>
      <c r="F31" s="16" t="s">
        <v>63</v>
      </c>
      <c r="G31" s="21">
        <v>0.5166461574877832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2D390-3ABC-4BE3-8C7C-28DF74AEF5A5}">
  <dimension ref="A1:E16"/>
  <sheetViews>
    <sheetView showGridLines="0" workbookViewId="0"/>
  </sheetViews>
  <sheetFormatPr defaultRowHeight="15" x14ac:dyDescent="0.25"/>
  <cols>
    <col min="1" max="1" width="2.28515625" customWidth="1"/>
    <col min="2" max="2" width="5.85546875" bestFit="1" customWidth="1"/>
    <col min="3" max="3" width="12.28515625" bestFit="1" customWidth="1"/>
    <col min="4" max="5" width="12.42578125" bestFit="1" customWidth="1"/>
  </cols>
  <sheetData>
    <row r="1" spans="1:5" x14ac:dyDescent="0.25">
      <c r="A1" s="8" t="s">
        <v>67</v>
      </c>
    </row>
    <row r="2" spans="1:5" x14ac:dyDescent="0.25">
      <c r="A2" s="8" t="s">
        <v>81</v>
      </c>
    </row>
    <row r="3" spans="1:5" x14ac:dyDescent="0.25">
      <c r="A3" s="8" t="s">
        <v>85</v>
      </c>
    </row>
    <row r="6" spans="1:5" ht="15.75" thickBot="1" x14ac:dyDescent="0.3">
      <c r="A6" t="s">
        <v>43</v>
      </c>
    </row>
    <row r="7" spans="1:5" x14ac:dyDescent="0.25">
      <c r="B7" s="23"/>
      <c r="C7" s="23"/>
      <c r="D7" s="23" t="s">
        <v>68</v>
      </c>
      <c r="E7" s="23" t="s">
        <v>70</v>
      </c>
    </row>
    <row r="8" spans="1:5" ht="15.75" thickBot="1" x14ac:dyDescent="0.3">
      <c r="B8" s="24" t="s">
        <v>39</v>
      </c>
      <c r="C8" s="24" t="s">
        <v>40</v>
      </c>
      <c r="D8" s="24" t="s">
        <v>69</v>
      </c>
      <c r="E8" s="24" t="s">
        <v>71</v>
      </c>
    </row>
    <row r="9" spans="1:5" x14ac:dyDescent="0.25">
      <c r="B9" s="18" t="s">
        <v>52</v>
      </c>
      <c r="C9" s="18" t="s">
        <v>53</v>
      </c>
      <c r="D9" s="18">
        <v>0.18056457388631453</v>
      </c>
      <c r="E9" s="18">
        <v>0</v>
      </c>
    </row>
    <row r="10" spans="1:5" x14ac:dyDescent="0.25">
      <c r="B10" s="18" t="s">
        <v>55</v>
      </c>
      <c r="C10" s="18" t="s">
        <v>56</v>
      </c>
      <c r="D10" s="18">
        <v>0.30278926311601417</v>
      </c>
      <c r="E10" s="18">
        <v>0</v>
      </c>
    </row>
    <row r="11" spans="1:5" ht="15.75" thickBot="1" x14ac:dyDescent="0.3">
      <c r="B11" s="16" t="s">
        <v>57</v>
      </c>
      <c r="C11" s="16" t="s">
        <v>58</v>
      </c>
      <c r="D11" s="16">
        <v>0.5166461574877832</v>
      </c>
      <c r="E11" s="16">
        <v>0</v>
      </c>
    </row>
    <row r="13" spans="1:5" ht="15.75" thickBot="1" x14ac:dyDescent="0.3">
      <c r="A13" t="s">
        <v>45</v>
      </c>
    </row>
    <row r="14" spans="1:5" x14ac:dyDescent="0.25">
      <c r="B14" s="23"/>
      <c r="C14" s="23"/>
      <c r="D14" s="23" t="s">
        <v>68</v>
      </c>
      <c r="E14" s="23" t="s">
        <v>72</v>
      </c>
    </row>
    <row r="15" spans="1:5" ht="15.75" thickBot="1" x14ac:dyDescent="0.3">
      <c r="B15" s="24" t="s">
        <v>39</v>
      </c>
      <c r="C15" s="24" t="s">
        <v>40</v>
      </c>
      <c r="D15" s="24" t="s">
        <v>69</v>
      </c>
      <c r="E15" s="24" t="s">
        <v>73</v>
      </c>
    </row>
    <row r="16" spans="1:5" ht="15.75" thickBot="1" x14ac:dyDescent="0.3">
      <c r="B16" s="16" t="s">
        <v>59</v>
      </c>
      <c r="C16" s="16" t="s">
        <v>60</v>
      </c>
      <c r="D16" s="16">
        <v>0.9999999944901119</v>
      </c>
      <c r="E16" s="16">
        <v>2.379884724966104E-4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7024D-0AAF-45DD-9958-0A8E7A188E62}">
  <dimension ref="A1:J15"/>
  <sheetViews>
    <sheetView showGridLines="0" workbookViewId="0">
      <selection activeCell="D20" sqref="D20"/>
    </sheetView>
  </sheetViews>
  <sheetFormatPr defaultRowHeight="15" x14ac:dyDescent="0.25"/>
  <cols>
    <col min="1" max="1" width="2.28515625" customWidth="1"/>
    <col min="2" max="2" width="5.85546875" bestFit="1" customWidth="1"/>
    <col min="3" max="3" width="13.42578125" bestFit="1" customWidth="1"/>
    <col min="4" max="4" width="12.42578125" bestFit="1" customWidth="1"/>
    <col min="5" max="5" width="2.28515625" customWidth="1"/>
    <col min="6" max="7" width="12.42578125" bestFit="1" customWidth="1"/>
    <col min="8" max="8" width="2.28515625" customWidth="1"/>
    <col min="9" max="10" width="12.42578125" bestFit="1" customWidth="1"/>
  </cols>
  <sheetData>
    <row r="1" spans="1:10" x14ac:dyDescent="0.25">
      <c r="A1" s="8" t="s">
        <v>74</v>
      </c>
    </row>
    <row r="2" spans="1:10" x14ac:dyDescent="0.25">
      <c r="A2" s="8" t="s">
        <v>81</v>
      </c>
    </row>
    <row r="3" spans="1:10" x14ac:dyDescent="0.25">
      <c r="A3" s="8" t="s">
        <v>85</v>
      </c>
    </row>
    <row r="5" spans="1:10" ht="15.75" thickBot="1" x14ac:dyDescent="0.3"/>
    <row r="6" spans="1:10" x14ac:dyDescent="0.25">
      <c r="B6" s="23"/>
      <c r="C6" s="23" t="s">
        <v>75</v>
      </c>
      <c r="D6" s="23"/>
    </row>
    <row r="7" spans="1:10" ht="15.75" thickBot="1" x14ac:dyDescent="0.3">
      <c r="B7" s="24" t="s">
        <v>39</v>
      </c>
      <c r="C7" s="24" t="s">
        <v>40</v>
      </c>
      <c r="D7" s="24" t="s">
        <v>69</v>
      </c>
    </row>
    <row r="8" spans="1:10" ht="15.75" thickBot="1" x14ac:dyDescent="0.3">
      <c r="B8" s="16" t="s">
        <v>50</v>
      </c>
      <c r="C8" s="16" t="s">
        <v>51</v>
      </c>
      <c r="D8" s="19">
        <v>1.1899407249639137E-4</v>
      </c>
    </row>
    <row r="10" spans="1:10" ht="15.75" thickBot="1" x14ac:dyDescent="0.3"/>
    <row r="11" spans="1:10" x14ac:dyDescent="0.25">
      <c r="B11" s="23"/>
      <c r="C11" s="23" t="s">
        <v>76</v>
      </c>
      <c r="D11" s="23"/>
      <c r="F11" s="23" t="s">
        <v>77</v>
      </c>
      <c r="G11" s="23" t="s">
        <v>75</v>
      </c>
      <c r="I11" s="23" t="s">
        <v>80</v>
      </c>
      <c r="J11" s="23" t="s">
        <v>75</v>
      </c>
    </row>
    <row r="12" spans="1:10" ht="15.75" thickBot="1" x14ac:dyDescent="0.3">
      <c r="B12" s="24" t="s">
        <v>39</v>
      </c>
      <c r="C12" s="24" t="s">
        <v>40</v>
      </c>
      <c r="D12" s="24" t="s">
        <v>69</v>
      </c>
      <c r="F12" s="24" t="s">
        <v>78</v>
      </c>
      <c r="G12" s="24" t="s">
        <v>79</v>
      </c>
      <c r="I12" s="24" t="s">
        <v>78</v>
      </c>
      <c r="J12" s="24" t="s">
        <v>79</v>
      </c>
    </row>
    <row r="13" spans="1:10" x14ac:dyDescent="0.25">
      <c r="B13" s="18" t="s">
        <v>52</v>
      </c>
      <c r="C13" s="18" t="s">
        <v>53</v>
      </c>
      <c r="D13" s="20">
        <v>0.18056457388631453</v>
      </c>
      <c r="F13" s="20">
        <v>0.18056457388631453</v>
      </c>
      <c r="G13" s="20">
        <v>1.1899407249639137E-4</v>
      </c>
      <c r="I13" s="20">
        <v>0.18056457388631453</v>
      </c>
      <c r="J13" s="20">
        <v>1.1899407249639137E-4</v>
      </c>
    </row>
    <row r="14" spans="1:10" x14ac:dyDescent="0.25">
      <c r="B14" s="18" t="s">
        <v>55</v>
      </c>
      <c r="C14" s="18" t="s">
        <v>56</v>
      </c>
      <c r="D14" s="20">
        <v>0.30278926311601417</v>
      </c>
      <c r="F14" s="20">
        <v>0.30278926311601417</v>
      </c>
      <c r="G14" s="20">
        <v>1.1899407249639137E-4</v>
      </c>
      <c r="I14" s="20">
        <v>0.30278926311601417</v>
      </c>
      <c r="J14" s="20">
        <v>1.1899407249639137E-4</v>
      </c>
    </row>
    <row r="15" spans="1:10" ht="15.75" thickBot="1" x14ac:dyDescent="0.3">
      <c r="B15" s="16" t="s">
        <v>57</v>
      </c>
      <c r="C15" s="16" t="s">
        <v>58</v>
      </c>
      <c r="D15" s="21">
        <v>0.5166461574877832</v>
      </c>
      <c r="F15" s="21">
        <v>0.5166461574877832</v>
      </c>
      <c r="G15" s="21">
        <v>1.1899407249639137E-4</v>
      </c>
      <c r="I15" s="21">
        <v>0.5166461574877832</v>
      </c>
      <c r="J15" s="21">
        <v>1.1899407249639137E-4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D98A0-02A2-4011-B212-A5BB402AC445}">
  <dimension ref="A1:G29"/>
  <sheetViews>
    <sheetView showGridLines="0" workbookViewId="0"/>
  </sheetViews>
  <sheetFormatPr defaultRowHeight="15" x14ac:dyDescent="0.25"/>
  <cols>
    <col min="1" max="1" width="2.28515625" customWidth="1"/>
    <col min="2" max="2" width="5.7109375" bestFit="1" customWidth="1"/>
    <col min="3" max="3" width="19.28515625" bestFit="1" customWidth="1"/>
    <col min="4" max="4" width="13.7109375" bestFit="1" customWidth="1"/>
    <col min="5" max="5" width="10.85546875" bestFit="1" customWidth="1"/>
    <col min="6" max="6" width="11.42578125" bestFit="1" customWidth="1"/>
    <col min="7" max="7" width="6.5703125" bestFit="1" customWidth="1"/>
  </cols>
  <sheetData>
    <row r="1" spans="1:5" x14ac:dyDescent="0.25">
      <c r="A1" s="8" t="s">
        <v>30</v>
      </c>
    </row>
    <row r="2" spans="1:5" x14ac:dyDescent="0.25">
      <c r="A2" s="8" t="s">
        <v>81</v>
      </c>
    </row>
    <row r="3" spans="1:5" x14ac:dyDescent="0.25">
      <c r="A3" s="8" t="s">
        <v>86</v>
      </c>
    </row>
    <row r="4" spans="1:5" x14ac:dyDescent="0.25">
      <c r="A4" s="8" t="s">
        <v>31</v>
      </c>
    </row>
    <row r="5" spans="1:5" x14ac:dyDescent="0.25">
      <c r="A5" s="8" t="s">
        <v>32</v>
      </c>
    </row>
    <row r="6" spans="1:5" x14ac:dyDescent="0.25">
      <c r="A6" s="8"/>
      <c r="B6" t="s">
        <v>33</v>
      </c>
    </row>
    <row r="7" spans="1:5" x14ac:dyDescent="0.25">
      <c r="A7" s="8"/>
      <c r="B7" t="s">
        <v>83</v>
      </c>
    </row>
    <row r="8" spans="1:5" x14ac:dyDescent="0.25">
      <c r="A8" s="8"/>
      <c r="B8" t="s">
        <v>84</v>
      </c>
    </row>
    <row r="9" spans="1:5" x14ac:dyDescent="0.25">
      <c r="A9" s="8" t="s">
        <v>34</v>
      </c>
    </row>
    <row r="10" spans="1:5" x14ac:dyDescent="0.25">
      <c r="B10" t="s">
        <v>35</v>
      </c>
    </row>
    <row r="11" spans="1:5" x14ac:dyDescent="0.25">
      <c r="B11" t="s">
        <v>36</v>
      </c>
    </row>
    <row r="12" spans="1:5" x14ac:dyDescent="0.25">
      <c r="B12" t="s">
        <v>37</v>
      </c>
    </row>
    <row r="14" spans="1:5" ht="15.75" thickBot="1" x14ac:dyDescent="0.3">
      <c r="A14" t="s">
        <v>87</v>
      </c>
    </row>
    <row r="15" spans="1:5" ht="15.75" thickBot="1" x14ac:dyDescent="0.3">
      <c r="B15" s="17" t="s">
        <v>39</v>
      </c>
      <c r="C15" s="17" t="s">
        <v>40</v>
      </c>
      <c r="D15" s="17" t="s">
        <v>41</v>
      </c>
      <c r="E15" s="17" t="s">
        <v>42</v>
      </c>
    </row>
    <row r="16" spans="1:5" ht="15.75" thickBot="1" x14ac:dyDescent="0.3">
      <c r="B16" s="16" t="s">
        <v>88</v>
      </c>
      <c r="C16" s="16" t="s">
        <v>89</v>
      </c>
      <c r="D16" s="19">
        <v>2.8721319154095086</v>
      </c>
      <c r="E16" s="19">
        <v>4.0555439261079789</v>
      </c>
    </row>
    <row r="19" spans="1:7" ht="15.75" thickBot="1" x14ac:dyDescent="0.3">
      <c r="A19" t="s">
        <v>43</v>
      </c>
    </row>
    <row r="20" spans="1:7" ht="15.75" thickBot="1" x14ac:dyDescent="0.3">
      <c r="B20" s="17" t="s">
        <v>39</v>
      </c>
      <c r="C20" s="17" t="s">
        <v>40</v>
      </c>
      <c r="D20" s="17" t="s">
        <v>41</v>
      </c>
      <c r="E20" s="17" t="s">
        <v>42</v>
      </c>
      <c r="F20" s="17" t="s">
        <v>44</v>
      </c>
    </row>
    <row r="21" spans="1:7" x14ac:dyDescent="0.25">
      <c r="B21" s="18" t="s">
        <v>90</v>
      </c>
      <c r="C21" s="18" t="s">
        <v>56</v>
      </c>
      <c r="D21" s="20">
        <v>1.0000000081040379</v>
      </c>
      <c r="E21" s="20">
        <v>0.44123096076683704</v>
      </c>
      <c r="F21" s="18" t="s">
        <v>54</v>
      </c>
    </row>
    <row r="22" spans="1:7" ht="15.75" thickBot="1" x14ac:dyDescent="0.3">
      <c r="B22" s="16" t="s">
        <v>91</v>
      </c>
      <c r="C22" s="16" t="s">
        <v>58</v>
      </c>
      <c r="D22" s="19">
        <v>0</v>
      </c>
      <c r="E22" s="19">
        <v>0.55876904280891515</v>
      </c>
      <c r="F22" s="16" t="s">
        <v>54</v>
      </c>
    </row>
    <row r="25" spans="1:7" ht="15.75" thickBot="1" x14ac:dyDescent="0.3">
      <c r="A25" t="s">
        <v>45</v>
      </c>
    </row>
    <row r="26" spans="1:7" ht="15.75" thickBot="1" x14ac:dyDescent="0.3">
      <c r="B26" s="17" t="s">
        <v>39</v>
      </c>
      <c r="C26" s="17" t="s">
        <v>40</v>
      </c>
      <c r="D26" s="17" t="s">
        <v>46</v>
      </c>
      <c r="E26" s="17" t="s">
        <v>47</v>
      </c>
      <c r="F26" s="17" t="s">
        <v>48</v>
      </c>
      <c r="G26" s="17" t="s">
        <v>49</v>
      </c>
    </row>
    <row r="27" spans="1:7" x14ac:dyDescent="0.25">
      <c r="B27" s="18" t="s">
        <v>92</v>
      </c>
      <c r="C27" s="18" t="s">
        <v>60</v>
      </c>
      <c r="D27" s="20">
        <v>1.0000000035757521</v>
      </c>
      <c r="E27" s="18" t="s">
        <v>93</v>
      </c>
      <c r="F27" s="18" t="s">
        <v>62</v>
      </c>
      <c r="G27" s="18">
        <v>0</v>
      </c>
    </row>
    <row r="28" spans="1:7" x14ac:dyDescent="0.25">
      <c r="B28" s="18" t="s">
        <v>90</v>
      </c>
      <c r="C28" s="18" t="s">
        <v>56</v>
      </c>
      <c r="D28" s="20">
        <v>0.44123096076683704</v>
      </c>
      <c r="E28" s="18" t="s">
        <v>94</v>
      </c>
      <c r="F28" s="18" t="s">
        <v>63</v>
      </c>
      <c r="G28" s="20">
        <v>0.44123096076683704</v>
      </c>
    </row>
    <row r="29" spans="1:7" ht="15.75" thickBot="1" x14ac:dyDescent="0.3">
      <c r="B29" s="16" t="s">
        <v>91</v>
      </c>
      <c r="C29" s="16" t="s">
        <v>58</v>
      </c>
      <c r="D29" s="19">
        <v>0.55876904280891515</v>
      </c>
      <c r="E29" s="16" t="s">
        <v>95</v>
      </c>
      <c r="F29" s="16" t="s">
        <v>63</v>
      </c>
      <c r="G29" s="19">
        <v>0.55876904280891515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79577-7119-4125-9B03-642BEDDC1808}">
  <dimension ref="A1:E15"/>
  <sheetViews>
    <sheetView showGridLines="0" workbookViewId="0"/>
  </sheetViews>
  <sheetFormatPr defaultRowHeight="15" x14ac:dyDescent="0.25"/>
  <cols>
    <col min="1" max="1" width="2.28515625" customWidth="1"/>
    <col min="2" max="2" width="5.7109375" bestFit="1" customWidth="1"/>
    <col min="3" max="3" width="12.28515625" bestFit="1" customWidth="1"/>
    <col min="4" max="5" width="12" bestFit="1" customWidth="1"/>
  </cols>
  <sheetData>
    <row r="1" spans="1:5" x14ac:dyDescent="0.25">
      <c r="A1" s="8" t="s">
        <v>67</v>
      </c>
    </row>
    <row r="2" spans="1:5" x14ac:dyDescent="0.25">
      <c r="A2" s="8" t="s">
        <v>81</v>
      </c>
    </row>
    <row r="3" spans="1:5" x14ac:dyDescent="0.25">
      <c r="A3" s="8" t="s">
        <v>86</v>
      </c>
    </row>
    <row r="6" spans="1:5" ht="15.75" thickBot="1" x14ac:dyDescent="0.3">
      <c r="A6" t="s">
        <v>43</v>
      </c>
    </row>
    <row r="7" spans="1:5" x14ac:dyDescent="0.25">
      <c r="B7" s="23"/>
      <c r="C7" s="23"/>
      <c r="D7" s="23" t="s">
        <v>68</v>
      </c>
      <c r="E7" s="23" t="s">
        <v>70</v>
      </c>
    </row>
    <row r="8" spans="1:5" ht="15.75" thickBot="1" x14ac:dyDescent="0.3">
      <c r="B8" s="24" t="s">
        <v>39</v>
      </c>
      <c r="C8" s="24" t="s">
        <v>40</v>
      </c>
      <c r="D8" s="24" t="s">
        <v>69</v>
      </c>
      <c r="E8" s="24" t="s">
        <v>71</v>
      </c>
    </row>
    <row r="9" spans="1:5" x14ac:dyDescent="0.25">
      <c r="B9" s="18" t="s">
        <v>90</v>
      </c>
      <c r="C9" s="18" t="s">
        <v>56</v>
      </c>
      <c r="D9" s="18">
        <v>0.44123096076683704</v>
      </c>
      <c r="E9" s="18">
        <v>0</v>
      </c>
    </row>
    <row r="10" spans="1:5" ht="15.75" thickBot="1" x14ac:dyDescent="0.3">
      <c r="B10" s="16" t="s">
        <v>91</v>
      </c>
      <c r="C10" s="16" t="s">
        <v>58</v>
      </c>
      <c r="D10" s="16">
        <v>0.55876904280891515</v>
      </c>
      <c r="E10" s="16">
        <v>0</v>
      </c>
    </row>
    <row r="12" spans="1:5" ht="15.75" thickBot="1" x14ac:dyDescent="0.3">
      <c r="A12" t="s">
        <v>45</v>
      </c>
    </row>
    <row r="13" spans="1:5" x14ac:dyDescent="0.25">
      <c r="B13" s="23"/>
      <c r="C13" s="23"/>
      <c r="D13" s="23" t="s">
        <v>68</v>
      </c>
      <c r="E13" s="23" t="s">
        <v>72</v>
      </c>
    </row>
    <row r="14" spans="1:5" ht="15.75" thickBot="1" x14ac:dyDescent="0.3">
      <c r="B14" s="24" t="s">
        <v>39</v>
      </c>
      <c r="C14" s="24" t="s">
        <v>40</v>
      </c>
      <c r="D14" s="24" t="s">
        <v>69</v>
      </c>
      <c r="E14" s="24" t="s">
        <v>73</v>
      </c>
    </row>
    <row r="15" spans="1:5" ht="15.75" thickBot="1" x14ac:dyDescent="0.3">
      <c r="B15" s="16" t="s">
        <v>92</v>
      </c>
      <c r="C15" s="16" t="s">
        <v>60</v>
      </c>
      <c r="D15" s="16">
        <v>1.0000000035757521</v>
      </c>
      <c r="E15" s="16">
        <v>0.2574231050039632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DE728-6BDA-47E0-B024-515C24C7B390}">
  <dimension ref="A1:J14"/>
  <sheetViews>
    <sheetView showGridLines="0" workbookViewId="0"/>
  </sheetViews>
  <sheetFormatPr defaultRowHeight="15" x14ac:dyDescent="0.25"/>
  <cols>
    <col min="1" max="1" width="2.28515625" customWidth="1"/>
    <col min="2" max="2" width="5.7109375" bestFit="1" customWidth="1"/>
    <col min="3" max="3" width="19.28515625" bestFit="1" customWidth="1"/>
    <col min="4" max="4" width="6.5703125" bestFit="1" customWidth="1"/>
    <col min="5" max="5" width="2.28515625" customWidth="1"/>
    <col min="6" max="6" width="6.5703125" bestFit="1" customWidth="1"/>
    <col min="7" max="7" width="9.5703125" bestFit="1" customWidth="1"/>
    <col min="8" max="8" width="2.28515625" customWidth="1"/>
    <col min="9" max="9" width="6.5703125" bestFit="1" customWidth="1"/>
    <col min="10" max="10" width="9.5703125" bestFit="1" customWidth="1"/>
  </cols>
  <sheetData>
    <row r="1" spans="1:10" x14ac:dyDescent="0.25">
      <c r="A1" s="8" t="s">
        <v>74</v>
      </c>
    </row>
    <row r="2" spans="1:10" x14ac:dyDescent="0.25">
      <c r="A2" s="8" t="s">
        <v>81</v>
      </c>
    </row>
    <row r="3" spans="1:10" x14ac:dyDescent="0.25">
      <c r="A3" s="8" t="s">
        <v>86</v>
      </c>
    </row>
    <row r="5" spans="1:10" ht="15.75" thickBot="1" x14ac:dyDescent="0.3"/>
    <row r="6" spans="1:10" x14ac:dyDescent="0.25">
      <c r="B6" s="23"/>
      <c r="C6" s="23" t="s">
        <v>75</v>
      </c>
      <c r="D6" s="23"/>
    </row>
    <row r="7" spans="1:10" ht="15.75" thickBot="1" x14ac:dyDescent="0.3">
      <c r="B7" s="24" t="s">
        <v>39</v>
      </c>
      <c r="C7" s="24" t="s">
        <v>40</v>
      </c>
      <c r="D7" s="24" t="s">
        <v>69</v>
      </c>
    </row>
    <row r="8" spans="1:10" ht="15.75" thickBot="1" x14ac:dyDescent="0.3">
      <c r="B8" s="16" t="s">
        <v>88</v>
      </c>
      <c r="C8" s="16" t="s">
        <v>89</v>
      </c>
      <c r="D8" s="19">
        <v>4.0555439261079789</v>
      </c>
    </row>
    <row r="10" spans="1:10" ht="15.75" thickBot="1" x14ac:dyDescent="0.3"/>
    <row r="11" spans="1:10" x14ac:dyDescent="0.25">
      <c r="B11" s="23"/>
      <c r="C11" s="23" t="s">
        <v>76</v>
      </c>
      <c r="D11" s="23"/>
      <c r="F11" s="23" t="s">
        <v>77</v>
      </c>
      <c r="G11" s="23" t="s">
        <v>75</v>
      </c>
      <c r="I11" s="23" t="s">
        <v>80</v>
      </c>
      <c r="J11" s="23" t="s">
        <v>75</v>
      </c>
    </row>
    <row r="12" spans="1:10" ht="15.75" thickBot="1" x14ac:dyDescent="0.3">
      <c r="B12" s="24" t="s">
        <v>39</v>
      </c>
      <c r="C12" s="24" t="s">
        <v>40</v>
      </c>
      <c r="D12" s="24" t="s">
        <v>69</v>
      </c>
      <c r="F12" s="24" t="s">
        <v>78</v>
      </c>
      <c r="G12" s="24" t="s">
        <v>79</v>
      </c>
      <c r="I12" s="24" t="s">
        <v>78</v>
      </c>
      <c r="J12" s="24" t="s">
        <v>79</v>
      </c>
    </row>
    <row r="13" spans="1:10" x14ac:dyDescent="0.25">
      <c r="B13" s="18" t="s">
        <v>90</v>
      </c>
      <c r="C13" s="18" t="s">
        <v>56</v>
      </c>
      <c r="D13" s="20">
        <v>0.44123096076683704</v>
      </c>
      <c r="F13" s="20">
        <v>0.44123096076683704</v>
      </c>
      <c r="G13" s="20">
        <v>4.0555439261079789</v>
      </c>
      <c r="I13" s="20">
        <v>0.44123096076683704</v>
      </c>
      <c r="J13" s="20">
        <v>4.0555439261079789</v>
      </c>
    </row>
    <row r="14" spans="1:10" ht="15.75" thickBot="1" x14ac:dyDescent="0.3">
      <c r="B14" s="16" t="s">
        <v>91</v>
      </c>
      <c r="C14" s="16" t="s">
        <v>58</v>
      </c>
      <c r="D14" s="19">
        <v>0.55876904280891515</v>
      </c>
      <c r="F14" s="19">
        <v>0.55876904280891515</v>
      </c>
      <c r="G14" s="19">
        <v>4.0555439261079789</v>
      </c>
      <c r="I14" s="19">
        <v>0.55876904280891515</v>
      </c>
      <c r="J14" s="19">
        <v>4.0555439261079789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F9AB5-A8C7-4BA8-AAC7-92954AE84E36}">
  <sheetPr codeName="Sheet1"/>
  <dimension ref="A1:N256"/>
  <sheetViews>
    <sheetView tabSelected="1" topLeftCell="A38" workbookViewId="0">
      <selection activeCell="F49" sqref="F49"/>
    </sheetView>
  </sheetViews>
  <sheetFormatPr defaultRowHeight="15" x14ac:dyDescent="0.25"/>
  <cols>
    <col min="1" max="1" width="13" customWidth="1"/>
    <col min="5" max="7" width="15.85546875" customWidth="1"/>
    <col min="9" max="9" width="24.7109375" bestFit="1" customWidth="1"/>
    <col min="10" max="12" width="12.5703125" customWidth="1"/>
    <col min="13" max="13" width="15.42578125" bestFit="1" customWidth="1"/>
    <col min="14" max="14" width="17.7109375" bestFit="1" customWidth="1"/>
    <col min="15" max="15" width="10.710937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8" t="s">
        <v>19</v>
      </c>
      <c r="J1">
        <v>252</v>
      </c>
    </row>
    <row r="2" spans="1:13" x14ac:dyDescent="0.25">
      <c r="A2" s="1">
        <v>45708</v>
      </c>
      <c r="B2">
        <v>34.72</v>
      </c>
      <c r="C2">
        <v>264.74</v>
      </c>
      <c r="D2">
        <v>287.2</v>
      </c>
      <c r="E2" s="3">
        <f t="shared" ref="E2:E33" si="0">LN(B2/B3)</f>
        <v>1.1527378798082617E-3</v>
      </c>
      <c r="F2" s="3">
        <f t="shared" ref="F2:F33" si="1">LN(C2/C3)</f>
        <v>1.587721953011576E-3</v>
      </c>
      <c r="G2" s="3">
        <f t="shared" ref="G2:G33" si="2">LN(D2/D3)</f>
        <v>-1.2526969416017488E-3</v>
      </c>
      <c r="I2" s="8" t="s">
        <v>18</v>
      </c>
      <c r="J2">
        <f>COUNT(B2:B127)</f>
        <v>126</v>
      </c>
      <c r="M2" s="4"/>
    </row>
    <row r="3" spans="1:13" x14ac:dyDescent="0.25">
      <c r="A3" s="1">
        <v>45707</v>
      </c>
      <c r="B3">
        <v>34.68</v>
      </c>
      <c r="C3">
        <v>264.32</v>
      </c>
      <c r="D3">
        <v>287.56</v>
      </c>
      <c r="E3" s="3">
        <f t="shared" si="0"/>
        <v>1.3937507843781458E-2</v>
      </c>
      <c r="F3" s="3">
        <f t="shared" si="1"/>
        <v>4.7403338732393092E-3</v>
      </c>
      <c r="G3" s="3">
        <f t="shared" si="2"/>
        <v>-2.9862170182535924E-3</v>
      </c>
    </row>
    <row r="4" spans="1:13" x14ac:dyDescent="0.25">
      <c r="A4" s="1">
        <v>45706</v>
      </c>
      <c r="B4">
        <v>34.200000000000003</v>
      </c>
      <c r="C4">
        <v>263.07</v>
      </c>
      <c r="D4">
        <v>288.42</v>
      </c>
      <c r="E4" s="3">
        <f t="shared" si="0"/>
        <v>1.6509808963812288E-2</v>
      </c>
      <c r="F4" s="3">
        <f t="shared" si="1"/>
        <v>6.8275272372190473E-3</v>
      </c>
      <c r="G4" s="3">
        <f t="shared" si="2"/>
        <v>1.7135083717208257E-2</v>
      </c>
      <c r="I4" s="8" t="s">
        <v>27</v>
      </c>
      <c r="J4" s="9" t="s">
        <v>1</v>
      </c>
      <c r="K4" s="9" t="s">
        <v>2</v>
      </c>
      <c r="L4" s="9" t="s">
        <v>3</v>
      </c>
      <c r="M4" s="4"/>
    </row>
    <row r="5" spans="1:13" x14ac:dyDescent="0.25">
      <c r="A5" s="1">
        <v>45702</v>
      </c>
      <c r="B5">
        <v>33.64</v>
      </c>
      <c r="C5">
        <v>261.27999999999997</v>
      </c>
      <c r="D5">
        <v>283.52</v>
      </c>
      <c r="E5" s="3">
        <f t="shared" si="0"/>
        <v>1.0158438118349352E-2</v>
      </c>
      <c r="F5" s="3">
        <f t="shared" si="1"/>
        <v>8.0312457351857363E-3</v>
      </c>
      <c r="G5" s="3">
        <f t="shared" si="2"/>
        <v>-1.6510799023121803E-2</v>
      </c>
      <c r="I5" t="s">
        <v>7</v>
      </c>
      <c r="J5" s="6">
        <f>AVERAGE(E2:E126)</f>
        <v>-2.0710496249578837E-5</v>
      </c>
      <c r="K5" s="6">
        <f>AVERAGE(F2:F126)</f>
        <v>2.4038440283463336E-3</v>
      </c>
      <c r="L5" s="6">
        <f>AVERAGE(G2:G126)</f>
        <v>2.0193942074212545E-3</v>
      </c>
      <c r="M5" s="4"/>
    </row>
    <row r="6" spans="1:13" x14ac:dyDescent="0.25">
      <c r="A6" s="1">
        <v>45701</v>
      </c>
      <c r="B6">
        <v>33.299999999999997</v>
      </c>
      <c r="C6">
        <v>259.19</v>
      </c>
      <c r="D6">
        <v>288.24</v>
      </c>
      <c r="E6" s="3">
        <f t="shared" si="0"/>
        <v>7.8384483336207435E-3</v>
      </c>
      <c r="F6" s="3">
        <f t="shared" si="1"/>
        <v>1.3126402064901262E-2</v>
      </c>
      <c r="G6" s="3">
        <f t="shared" si="2"/>
        <v>-7.6379779987036083E-3</v>
      </c>
      <c r="I6" t="s">
        <v>8</v>
      </c>
      <c r="J6" s="4">
        <f>POWER(B2/B127,$J$1/$J$2)-1</f>
        <v>-5.1642432704616104E-3</v>
      </c>
      <c r="K6" s="4">
        <f>POWER(C2/C127,$J$1/$J$2)-1</f>
        <v>0.82387071113477228</v>
      </c>
      <c r="L6" s="4">
        <f>POWER(D2/D127,$J$1/$J$2)-1</f>
        <v>0.65673459207980445</v>
      </c>
    </row>
    <row r="7" spans="1:13" x14ac:dyDescent="0.25">
      <c r="A7" s="1">
        <v>45700</v>
      </c>
      <c r="B7">
        <v>33.04</v>
      </c>
      <c r="C7">
        <v>255.81</v>
      </c>
      <c r="D7">
        <v>290.45</v>
      </c>
      <c r="E7" s="3">
        <f t="shared" si="0"/>
        <v>-3.3237679790941864E-3</v>
      </c>
      <c r="F7" s="3">
        <f t="shared" si="1"/>
        <v>4.3485994366567488E-3</v>
      </c>
      <c r="G7" s="3">
        <f t="shared" si="2"/>
        <v>8.4709643025954653E-3</v>
      </c>
      <c r="I7" t="s">
        <v>9</v>
      </c>
      <c r="J7" s="4">
        <f>_xlfn.STDEV.S(E2:E126)</f>
        <v>1.8521761487052393E-2</v>
      </c>
      <c r="K7" s="4">
        <f>_xlfn.STDEV.S(F2:F126)</f>
        <v>1.7181093864835129E-2</v>
      </c>
      <c r="L7" s="4">
        <f>_xlfn.STDEV.S(G2:G126)</f>
        <v>1.3533730647603506E-2</v>
      </c>
    </row>
    <row r="8" spans="1:13" x14ac:dyDescent="0.25">
      <c r="A8" s="1">
        <v>45699</v>
      </c>
      <c r="B8">
        <v>33.15</v>
      </c>
      <c r="C8">
        <v>254.7</v>
      </c>
      <c r="D8">
        <v>288</v>
      </c>
      <c r="E8" s="3">
        <f t="shared" si="0"/>
        <v>1.0004630969926527E-2</v>
      </c>
      <c r="F8" s="3">
        <f t="shared" si="1"/>
        <v>2.1549735640411558E-2</v>
      </c>
      <c r="G8" s="3">
        <f t="shared" si="2"/>
        <v>-5.5546389918637119E-2</v>
      </c>
      <c r="I8" t="s">
        <v>10</v>
      </c>
      <c r="J8" s="4">
        <f>_xlfn.STDEV.S(E2:E126)*SQRT($J$1)</f>
        <v>0.29402384842556706</v>
      </c>
      <c r="K8" s="4">
        <f>_xlfn.STDEV.S(F2:F126)*SQRT($J$1)</f>
        <v>0.27274140971046801</v>
      </c>
      <c r="L8" s="4">
        <f>_xlfn.STDEV.S(G2:G126)*SQRT($J$1)</f>
        <v>0.21484131362695205</v>
      </c>
    </row>
    <row r="9" spans="1:13" x14ac:dyDescent="0.25">
      <c r="A9" s="1">
        <v>45698</v>
      </c>
      <c r="B9">
        <v>32.82</v>
      </c>
      <c r="C9">
        <v>249.27</v>
      </c>
      <c r="D9">
        <v>304.45</v>
      </c>
      <c r="E9" s="3">
        <f t="shared" si="0"/>
        <v>1.6900079598074335E-2</v>
      </c>
      <c r="F9" s="3">
        <f t="shared" si="1"/>
        <v>-1.224073815459552E-2</v>
      </c>
      <c r="G9" s="3">
        <f t="shared" si="2"/>
        <v>1.5778577284947613E-3</v>
      </c>
    </row>
    <row r="10" spans="1:13" x14ac:dyDescent="0.25">
      <c r="A10" s="1">
        <v>45695</v>
      </c>
      <c r="B10">
        <v>32.270000000000003</v>
      </c>
      <c r="C10">
        <v>252.34</v>
      </c>
      <c r="D10">
        <v>303.97000000000003</v>
      </c>
      <c r="E10" s="3">
        <f t="shared" si="0"/>
        <v>-1.0174282308791445E-2</v>
      </c>
      <c r="F10" s="3">
        <f t="shared" si="1"/>
        <v>-4.3497241264658709E-3</v>
      </c>
      <c r="G10" s="3">
        <f t="shared" si="2"/>
        <v>3.3612369350902844E-3</v>
      </c>
      <c r="I10" s="8" t="s">
        <v>26</v>
      </c>
      <c r="J10" s="9" t="s">
        <v>1</v>
      </c>
      <c r="K10" s="9" t="s">
        <v>2</v>
      </c>
      <c r="L10" s="9" t="s">
        <v>3</v>
      </c>
    </row>
    <row r="11" spans="1:13" x14ac:dyDescent="0.25">
      <c r="A11" s="1">
        <v>45694</v>
      </c>
      <c r="B11">
        <v>32.6</v>
      </c>
      <c r="C11">
        <v>253.44</v>
      </c>
      <c r="D11">
        <v>302.95</v>
      </c>
      <c r="E11" s="3">
        <f t="shared" si="0"/>
        <v>9.206690845197697E-4</v>
      </c>
      <c r="F11" s="3">
        <f t="shared" si="1"/>
        <v>-3.8166957876202751E-2</v>
      </c>
      <c r="G11" s="3">
        <f t="shared" si="2"/>
        <v>3.5479247826600724E-2</v>
      </c>
      <c r="I11" t="s">
        <v>8</v>
      </c>
      <c r="J11" s="4" cm="1">
        <f t="array" ref="J11">CalculateCAGR(B127,B2,$J$2/$J$1)</f>
        <v>-5.1642432704616104E-3</v>
      </c>
      <c r="K11" s="4" cm="1">
        <f t="array" ref="K11">CalculateCAGR(C127,C2,$J$2/$J$1)</f>
        <v>0.82387071113477228</v>
      </c>
      <c r="L11" s="4" cm="1">
        <f t="array" ref="L11">CalculateCAGR(D127,D2,$J$2/$J$1)</f>
        <v>0.65673459207980445</v>
      </c>
    </row>
    <row r="12" spans="1:13" x14ac:dyDescent="0.25">
      <c r="A12" s="1">
        <v>45693</v>
      </c>
      <c r="B12">
        <v>32.57</v>
      </c>
      <c r="C12">
        <v>263.3</v>
      </c>
      <c r="D12">
        <v>292.39</v>
      </c>
      <c r="E12" s="3">
        <f t="shared" si="0"/>
        <v>1.7343265306370551E-2</v>
      </c>
      <c r="F12" s="3">
        <f t="shared" si="1"/>
        <v>-4.3959446264129213E-3</v>
      </c>
      <c r="G12" s="3">
        <f t="shared" si="2"/>
        <v>5.6247361656234472E-3</v>
      </c>
      <c r="I12" t="s">
        <v>10</v>
      </c>
      <c r="J12" s="4" cm="1">
        <f t="array" ref="J12">CalculateAnnualizedVolatility(E2:E127)</f>
        <v>0.29284539284968503</v>
      </c>
      <c r="K12" s="4" cm="1">
        <f t="array" ref="K12">CalculateAnnualizedVolatility(F2:F127)</f>
        <v>0.2716695244051342</v>
      </c>
      <c r="L12" s="4" cm="1">
        <f t="array" ref="L12">CalculateAnnualizedVolatility(G2:G127)</f>
        <v>0.21399927950008771</v>
      </c>
    </row>
    <row r="13" spans="1:13" ht="15.75" thickBot="1" x14ac:dyDescent="0.3">
      <c r="A13" s="1">
        <v>45692</v>
      </c>
      <c r="B13">
        <v>32.01</v>
      </c>
      <c r="C13">
        <v>264.45999999999998</v>
      </c>
      <c r="D13">
        <v>290.75</v>
      </c>
      <c r="E13" s="3">
        <f t="shared" si="0"/>
        <v>3.1245118204508028E-4</v>
      </c>
      <c r="F13" s="3">
        <f t="shared" si="1"/>
        <v>1.4204622011198318E-2</v>
      </c>
      <c r="G13" s="3">
        <f t="shared" si="2"/>
        <v>9.9791821911598662E-4</v>
      </c>
    </row>
    <row r="14" spans="1:13" x14ac:dyDescent="0.25">
      <c r="A14" s="1">
        <v>45691</v>
      </c>
      <c r="B14">
        <v>32</v>
      </c>
      <c r="C14">
        <v>260.73</v>
      </c>
      <c r="D14">
        <v>290.45999999999998</v>
      </c>
      <c r="E14" s="3">
        <f t="shared" si="0"/>
        <v>-1.5504186535965199E-2</v>
      </c>
      <c r="F14" s="3">
        <f t="shared" si="1"/>
        <v>1.9480506820337647E-2</v>
      </c>
      <c r="G14" s="3">
        <f t="shared" si="2"/>
        <v>-4.4746580214821403E-4</v>
      </c>
      <c r="I14" s="10" t="s">
        <v>11</v>
      </c>
      <c r="J14" s="11" t="s">
        <v>4</v>
      </c>
      <c r="K14" s="11" t="s">
        <v>5</v>
      </c>
      <c r="L14" s="11" t="s">
        <v>6</v>
      </c>
    </row>
    <row r="15" spans="1:13" x14ac:dyDescent="0.25">
      <c r="A15" s="1">
        <v>45688</v>
      </c>
      <c r="B15">
        <v>32.5</v>
      </c>
      <c r="C15">
        <v>255.7</v>
      </c>
      <c r="D15">
        <v>290.58999999999997</v>
      </c>
      <c r="E15" s="3">
        <f t="shared" si="0"/>
        <v>-9.1884260544061423E-3</v>
      </c>
      <c r="F15" s="3">
        <f t="shared" si="1"/>
        <v>-1.0000667040831976E-2</v>
      </c>
      <c r="G15" s="3">
        <f t="shared" si="2"/>
        <v>-6.688070477136248E-3</v>
      </c>
      <c r="I15" t="s">
        <v>4</v>
      </c>
      <c r="J15" s="26">
        <f>VARP(Sheet1!$E$2:$E$126)</f>
        <v>3.4031120339459125E-4</v>
      </c>
      <c r="K15" s="27">
        <f>J16</f>
        <v>6.0315104504451717E-5</v>
      </c>
      <c r="L15" s="27">
        <f>J17</f>
        <v>7.6034876670726082E-5</v>
      </c>
    </row>
    <row r="16" spans="1:13" x14ac:dyDescent="0.25">
      <c r="A16" s="1">
        <v>45687</v>
      </c>
      <c r="B16">
        <v>32.799999999999997</v>
      </c>
      <c r="C16">
        <v>258.27</v>
      </c>
      <c r="D16">
        <v>292.54000000000002</v>
      </c>
      <c r="E16" s="3">
        <f t="shared" si="0"/>
        <v>5.8095255888703226E-3</v>
      </c>
      <c r="F16" s="3">
        <f t="shared" si="1"/>
        <v>0.12190057299183713</v>
      </c>
      <c r="G16" s="3">
        <f t="shared" si="2"/>
        <v>9.8935880862318862E-3</v>
      </c>
      <c r="I16" t="s">
        <v>5</v>
      </c>
      <c r="J16" s="26">
        <v>6.0315104504451717E-5</v>
      </c>
      <c r="K16" s="26">
        <f>VARP(Sheet1!$F$2:$F$126)</f>
        <v>2.9282846650113711E-4</v>
      </c>
      <c r="L16" s="27">
        <f>K17</f>
        <v>3.7623538497658467E-5</v>
      </c>
    </row>
    <row r="17" spans="1:14" ht="15.75" thickBot="1" x14ac:dyDescent="0.3">
      <c r="A17" s="1">
        <v>45686</v>
      </c>
      <c r="B17">
        <v>32.61</v>
      </c>
      <c r="C17">
        <v>228.63</v>
      </c>
      <c r="D17">
        <v>289.66000000000003</v>
      </c>
      <c r="E17" s="3">
        <f t="shared" si="0"/>
        <v>-3.9785821417611823E-3</v>
      </c>
      <c r="F17" s="3">
        <f t="shared" si="1"/>
        <v>1.307553463583567E-2</v>
      </c>
      <c r="G17" s="3">
        <f t="shared" si="2"/>
        <v>3.5275844984515572E-3</v>
      </c>
      <c r="I17" s="7" t="s">
        <v>6</v>
      </c>
      <c r="J17" s="28">
        <v>7.6034876670726082E-5</v>
      </c>
      <c r="K17" s="28">
        <v>3.7623538497658467E-5</v>
      </c>
      <c r="L17" s="28">
        <f>VARP(Sheet1!$G$2:$G$126)</f>
        <v>1.8169657031994737E-4</v>
      </c>
    </row>
    <row r="18" spans="1:14" x14ac:dyDescent="0.25">
      <c r="A18" s="1">
        <v>45685</v>
      </c>
      <c r="B18">
        <v>32.74</v>
      </c>
      <c r="C18">
        <v>225.66</v>
      </c>
      <c r="D18">
        <v>288.64</v>
      </c>
      <c r="E18" s="3">
        <f t="shared" si="0"/>
        <v>-1.7860320376659342E-2</v>
      </c>
      <c r="F18" s="3">
        <f t="shared" si="1"/>
        <v>6.8032010544805061E-3</v>
      </c>
      <c r="G18" s="3">
        <f t="shared" si="2"/>
        <v>2.0461606958665471E-3</v>
      </c>
    </row>
    <row r="19" spans="1:14" x14ac:dyDescent="0.25">
      <c r="A19" s="1">
        <v>45684</v>
      </c>
      <c r="B19">
        <v>33.33</v>
      </c>
      <c r="C19">
        <v>224.13</v>
      </c>
      <c r="D19">
        <v>288.05</v>
      </c>
      <c r="E19" s="3">
        <f t="shared" si="0"/>
        <v>1.8165803806559272E-2</v>
      </c>
      <c r="F19" s="3">
        <f t="shared" si="1"/>
        <v>-2.9848773637165451E-3</v>
      </c>
      <c r="G19" s="3">
        <f t="shared" si="2"/>
        <v>1.3772589064079561E-2</v>
      </c>
      <c r="I19" s="9" t="s">
        <v>13</v>
      </c>
      <c r="J19" s="9" t="s">
        <v>12</v>
      </c>
    </row>
    <row r="20" spans="1:14" x14ac:dyDescent="0.25">
      <c r="A20" s="1">
        <v>45681</v>
      </c>
      <c r="B20">
        <v>32.729999999999997</v>
      </c>
      <c r="C20">
        <v>224.8</v>
      </c>
      <c r="D20">
        <v>284.11</v>
      </c>
      <c r="E20" s="3">
        <f t="shared" si="0"/>
        <v>-1.9664829720600102E-2</v>
      </c>
      <c r="F20" s="3">
        <f t="shared" si="1"/>
        <v>-5.5008567421065187E-3</v>
      </c>
      <c r="G20" s="3">
        <f t="shared" si="2"/>
        <v>-3.3732770312366323E-3</v>
      </c>
      <c r="I20" t="s">
        <v>1</v>
      </c>
      <c r="J20" s="3">
        <v>0.18056457388631453</v>
      </c>
    </row>
    <row r="21" spans="1:14" x14ac:dyDescent="0.25">
      <c r="A21" s="1">
        <v>45680</v>
      </c>
      <c r="B21">
        <v>33.380000000000003</v>
      </c>
      <c r="C21">
        <v>226.04</v>
      </c>
      <c r="D21">
        <v>285.07</v>
      </c>
      <c r="E21" s="3">
        <f t="shared" si="0"/>
        <v>7.5177019218845998E-3</v>
      </c>
      <c r="F21" s="3">
        <f t="shared" si="1"/>
        <v>1.2374963175056345E-2</v>
      </c>
      <c r="G21" s="3">
        <f t="shared" si="2"/>
        <v>1.6481946282947284E-2</v>
      </c>
      <c r="I21" t="s">
        <v>2</v>
      </c>
      <c r="J21" s="3">
        <v>0.30278926311601417</v>
      </c>
    </row>
    <row r="22" spans="1:14" x14ac:dyDescent="0.25">
      <c r="A22" s="1">
        <v>45679</v>
      </c>
      <c r="B22">
        <v>33.130000000000003</v>
      </c>
      <c r="C22">
        <v>223.26</v>
      </c>
      <c r="D22">
        <v>280.41000000000003</v>
      </c>
      <c r="E22" s="3">
        <f t="shared" si="0"/>
        <v>5.4479553632881738E-3</v>
      </c>
      <c r="F22" s="3">
        <f t="shared" si="1"/>
        <v>-4.4690814461485328E-3</v>
      </c>
      <c r="G22" s="3">
        <f t="shared" si="2"/>
        <v>9.6394059775291672E-3</v>
      </c>
      <c r="I22" s="12" t="s">
        <v>3</v>
      </c>
      <c r="J22" s="15">
        <v>0.5166461574877832</v>
      </c>
    </row>
    <row r="23" spans="1:14" x14ac:dyDescent="0.25">
      <c r="A23" s="1">
        <v>45678</v>
      </c>
      <c r="B23">
        <v>32.950000000000003</v>
      </c>
      <c r="C23">
        <v>224.26</v>
      </c>
      <c r="D23">
        <v>277.72000000000003</v>
      </c>
      <c r="E23" s="3">
        <f t="shared" si="0"/>
        <v>1.3443526632702464E-2</v>
      </c>
      <c r="F23" s="3">
        <f t="shared" si="1"/>
        <v>-2.3605400115944046E-3</v>
      </c>
      <c r="G23" s="3">
        <f t="shared" si="2"/>
        <v>1.9462972444162859E-3</v>
      </c>
      <c r="I23" s="14" t="s">
        <v>14</v>
      </c>
      <c r="J23" s="29">
        <f>SUM(J20:J22)</f>
        <v>0.9999999944901119</v>
      </c>
    </row>
    <row r="24" spans="1:14" x14ac:dyDescent="0.25">
      <c r="A24" s="1">
        <v>45674</v>
      </c>
      <c r="B24">
        <v>32.51</v>
      </c>
      <c r="C24">
        <v>224.79</v>
      </c>
      <c r="D24">
        <v>277.18</v>
      </c>
      <c r="E24" s="3">
        <f t="shared" si="0"/>
        <v>4.9337133689043413E-3</v>
      </c>
      <c r="F24" s="3">
        <f t="shared" si="1"/>
        <v>9.520688743767795E-3</v>
      </c>
      <c r="G24" s="3">
        <f t="shared" si="2"/>
        <v>4.2662489235063706E-3</v>
      </c>
      <c r="I24" s="8" t="s">
        <v>20</v>
      </c>
      <c r="J24" s="25">
        <f t="array" ref="J24">MMULT(MMULT(TRANSPOSE(J20:J22),J15:L17),J20:J22)</f>
        <v>1.1899407249639137E-4</v>
      </c>
    </row>
    <row r="25" spans="1:14" x14ac:dyDescent="0.25">
      <c r="A25" s="1">
        <v>45673</v>
      </c>
      <c r="B25">
        <v>32.35</v>
      </c>
      <c r="C25">
        <v>222.66</v>
      </c>
      <c r="D25">
        <v>276</v>
      </c>
      <c r="E25" s="3">
        <f t="shared" si="0"/>
        <v>-1.3509569909647193E-2</v>
      </c>
      <c r="F25" s="3">
        <f t="shared" si="1"/>
        <v>1.1882043608511634E-2</v>
      </c>
      <c r="G25" s="3">
        <f t="shared" si="2"/>
        <v>-1.8114301290366605E-4</v>
      </c>
    </row>
    <row r="26" spans="1:14" x14ac:dyDescent="0.25">
      <c r="A26" s="1">
        <v>45672</v>
      </c>
      <c r="B26">
        <v>32.79</v>
      </c>
      <c r="C26">
        <v>220.03</v>
      </c>
      <c r="D26">
        <v>276.05</v>
      </c>
      <c r="E26" s="3">
        <f t="shared" si="0"/>
        <v>3.6663652435780531E-3</v>
      </c>
      <c r="F26" s="3">
        <f t="shared" si="1"/>
        <v>1.041628495943747E-2</v>
      </c>
      <c r="G26" s="3">
        <f t="shared" si="2"/>
        <v>-1.3756156238177418E-3</v>
      </c>
      <c r="I26" t="s">
        <v>15</v>
      </c>
      <c r="J26" t="s">
        <v>16</v>
      </c>
      <c r="K26" t="s">
        <v>17</v>
      </c>
      <c r="L26" t="s">
        <v>22</v>
      </c>
    </row>
    <row r="27" spans="1:14" x14ac:dyDescent="0.25">
      <c r="A27" s="1">
        <v>45671</v>
      </c>
      <c r="B27">
        <v>32.67</v>
      </c>
      <c r="C27">
        <v>217.75</v>
      </c>
      <c r="D27">
        <v>276.43</v>
      </c>
      <c r="E27" s="3">
        <f t="shared" si="0"/>
        <v>1.5316284201111559E-3</v>
      </c>
      <c r="F27" s="3">
        <f t="shared" si="1"/>
        <v>1.6086410455030409E-3</v>
      </c>
      <c r="G27" s="3">
        <f t="shared" si="2"/>
        <v>1.5089949549755927E-2</v>
      </c>
      <c r="I27" s="8" t="s">
        <v>24</v>
      </c>
      <c r="J27" s="4">
        <v>4.36E-2</v>
      </c>
      <c r="K27" t="s">
        <v>21</v>
      </c>
      <c r="L27" s="13" t="s">
        <v>23</v>
      </c>
    </row>
    <row r="28" spans="1:14" x14ac:dyDescent="0.25">
      <c r="A28" s="1">
        <v>45670</v>
      </c>
      <c r="B28">
        <v>32.619999999999997</v>
      </c>
      <c r="C28">
        <v>217.4</v>
      </c>
      <c r="D28">
        <v>272.29000000000002</v>
      </c>
      <c r="E28" s="3">
        <f t="shared" si="0"/>
        <v>-1.7624278729575199E-2</v>
      </c>
      <c r="F28" s="3">
        <f t="shared" si="1"/>
        <v>-1.0751561878177329E-2</v>
      </c>
      <c r="G28" s="3">
        <f t="shared" si="2"/>
        <v>5.6348551637086016E-3</v>
      </c>
      <c r="I28" s="8" t="s">
        <v>25</v>
      </c>
      <c r="J28" s="5"/>
    </row>
    <row r="29" spans="1:14" x14ac:dyDescent="0.25">
      <c r="A29" s="1">
        <v>45667</v>
      </c>
      <c r="B29">
        <v>33.200000000000003</v>
      </c>
      <c r="C29">
        <v>219.75</v>
      </c>
      <c r="D29">
        <v>270.76</v>
      </c>
      <c r="E29" s="3">
        <f t="shared" si="0"/>
        <v>-7.5019106517945451E-3</v>
      </c>
      <c r="F29" s="3">
        <f t="shared" si="1"/>
        <v>-1.5488084192268842E-2</v>
      </c>
      <c r="G29" s="3">
        <f t="shared" si="2"/>
        <v>-1.0178485420100965E-2</v>
      </c>
    </row>
    <row r="30" spans="1:14" x14ac:dyDescent="0.25">
      <c r="A30" s="1">
        <v>45665</v>
      </c>
      <c r="B30">
        <v>33.450000000000003</v>
      </c>
      <c r="C30">
        <v>223.18</v>
      </c>
      <c r="D30">
        <v>273.52999999999997</v>
      </c>
      <c r="E30" s="3">
        <f t="shared" si="0"/>
        <v>-6.5554465987456133E-3</v>
      </c>
      <c r="F30" s="3">
        <f t="shared" si="1"/>
        <v>-3.4888437231373657E-3</v>
      </c>
      <c r="G30" s="3">
        <f t="shared" si="2"/>
        <v>1.3804493018974271E-2</v>
      </c>
      <c r="I30" s="9" t="s">
        <v>13</v>
      </c>
      <c r="J30" s="9" t="s">
        <v>12</v>
      </c>
      <c r="L30" s="31" t="s">
        <v>12</v>
      </c>
      <c r="M30" t="s">
        <v>101</v>
      </c>
      <c r="N30" t="s">
        <v>98</v>
      </c>
    </row>
    <row r="31" spans="1:14" x14ac:dyDescent="0.25">
      <c r="A31" s="1">
        <v>45664</v>
      </c>
      <c r="B31">
        <v>33.67</v>
      </c>
      <c r="C31">
        <v>223.96</v>
      </c>
      <c r="D31">
        <v>269.77999999999997</v>
      </c>
      <c r="E31" s="3">
        <f t="shared" si="0"/>
        <v>-5.9224336566970686E-3</v>
      </c>
      <c r="F31" s="3">
        <f t="shared" si="1"/>
        <v>5.7766096643265966E-3</v>
      </c>
      <c r="G31" s="3">
        <f t="shared" si="2"/>
        <v>-1.0472072101163485E-2</v>
      </c>
      <c r="I31" t="s">
        <v>2</v>
      </c>
      <c r="J31" s="3">
        <v>0.44123096076683704</v>
      </c>
      <c r="L31" s="30">
        <v>0</v>
      </c>
      <c r="M31" s="31">
        <f>L31*$J$36</f>
        <v>0</v>
      </c>
      <c r="N31" s="31">
        <f>L31*$J$35+(1-L31)*$J$27</f>
        <v>4.36E-2</v>
      </c>
    </row>
    <row r="32" spans="1:14" x14ac:dyDescent="0.25">
      <c r="A32" s="1">
        <v>45663</v>
      </c>
      <c r="B32">
        <v>33.869999999999997</v>
      </c>
      <c r="C32">
        <v>222.67</v>
      </c>
      <c r="D32">
        <v>272.62</v>
      </c>
      <c r="E32" s="3">
        <f t="shared" si="0"/>
        <v>2.1788654831263358E-2</v>
      </c>
      <c r="F32" s="3">
        <f t="shared" si="1"/>
        <v>8.9823048654490224E-5</v>
      </c>
      <c r="G32" s="3">
        <f t="shared" si="2"/>
        <v>-9.7098773465278451E-3</v>
      </c>
      <c r="I32" s="12" t="s">
        <v>3</v>
      </c>
      <c r="J32" s="15">
        <v>0.55876904280891515</v>
      </c>
      <c r="L32" s="30">
        <v>0.1</v>
      </c>
      <c r="M32" s="31">
        <f>L32*$J$36</f>
        <v>1.6936821233663059E-2</v>
      </c>
      <c r="N32" s="31">
        <f>L32*$J$35+(1-L32)*$J$27</f>
        <v>0.11228802248175887</v>
      </c>
    </row>
    <row r="33" spans="1:14" x14ac:dyDescent="0.25">
      <c r="A33" s="1">
        <v>45660</v>
      </c>
      <c r="B33">
        <v>33.14</v>
      </c>
      <c r="C33">
        <v>222.65</v>
      </c>
      <c r="D33">
        <v>275.27999999999997</v>
      </c>
      <c r="E33" s="3">
        <f t="shared" si="0"/>
        <v>2.0424425883662368E-2</v>
      </c>
      <c r="F33" s="3">
        <f t="shared" si="1"/>
        <v>1.2246249884922922E-2</v>
      </c>
      <c r="G33" s="3">
        <f t="shared" si="2"/>
        <v>3.0196664933267552E-3</v>
      </c>
      <c r="I33" s="14" t="s">
        <v>14</v>
      </c>
      <c r="J33" s="15">
        <f>SUM(J31:J32)</f>
        <v>1.0000000035757521</v>
      </c>
      <c r="L33" s="30">
        <v>0.2</v>
      </c>
      <c r="M33" s="31">
        <f>L33*$J$36</f>
        <v>3.3873642467326118E-2</v>
      </c>
      <c r="N33" s="31">
        <f>L33*$J$35+(1-L33)*$J$27</f>
        <v>0.18097604496351771</v>
      </c>
    </row>
    <row r="34" spans="1:14" x14ac:dyDescent="0.25">
      <c r="A34" s="1">
        <v>45659</v>
      </c>
      <c r="B34">
        <v>32.47</v>
      </c>
      <c r="C34">
        <v>219.94</v>
      </c>
      <c r="D34">
        <v>274.45</v>
      </c>
      <c r="E34" s="3">
        <f t="shared" ref="E34:E65" si="3">LN(B34/B35)</f>
        <v>-4.9155244904747339E-3</v>
      </c>
      <c r="F34" s="3">
        <f t="shared" ref="F34:F65" si="4">LN(C34/C35)</f>
        <v>5.0026151076269082E-4</v>
      </c>
      <c r="G34" s="3">
        <f t="shared" ref="G34:G65" si="5">LN(D34/D35)</f>
        <v>-1.6227609934650219E-2</v>
      </c>
      <c r="L34" s="30">
        <v>0.3</v>
      </c>
      <c r="M34" s="31">
        <f>L34*$J$36</f>
        <v>5.081046370098917E-2</v>
      </c>
      <c r="N34" s="31">
        <f>L34*$J$35+(1-L34)*$J$27</f>
        <v>0.24966406744527656</v>
      </c>
    </row>
    <row r="35" spans="1:14" x14ac:dyDescent="0.25">
      <c r="A35" s="1">
        <v>45657</v>
      </c>
      <c r="B35">
        <v>32.630000000000003</v>
      </c>
      <c r="C35">
        <v>219.83</v>
      </c>
      <c r="D35">
        <v>278.94</v>
      </c>
      <c r="E35" s="3">
        <f t="shared" si="3"/>
        <v>0</v>
      </c>
      <c r="F35" s="3">
        <f t="shared" si="4"/>
        <v>-1.9087444442631187E-3</v>
      </c>
      <c r="G35" s="3">
        <f t="shared" si="5"/>
        <v>-4.899428665181488E-3</v>
      </c>
      <c r="I35" t="s">
        <v>28</v>
      </c>
      <c r="J35" s="4" cm="1">
        <f t="array" ref="J35">SUMPRODUCT(K11:L11,TRANSPOSE(J31:J32))</f>
        <v>0.73048022481758856</v>
      </c>
      <c r="L35" s="30">
        <v>0.4</v>
      </c>
      <c r="M35" s="31">
        <f>L35*$J$36</f>
        <v>6.7747284934652235E-2</v>
      </c>
      <c r="N35" s="31">
        <f>L35*$J$35+(1-L35)*$J$27</f>
        <v>0.31835208992703545</v>
      </c>
    </row>
    <row r="36" spans="1:14" x14ac:dyDescent="0.25">
      <c r="A36" s="1">
        <v>45656</v>
      </c>
      <c r="B36">
        <v>32.630000000000003</v>
      </c>
      <c r="C36">
        <v>220.25</v>
      </c>
      <c r="D36">
        <v>280.31</v>
      </c>
      <c r="E36" s="3">
        <f t="shared" si="3"/>
        <v>-1.972450534777859E-2</v>
      </c>
      <c r="F36" s="3">
        <f t="shared" si="4"/>
        <v>-1.1421472600754828E-2</v>
      </c>
      <c r="G36" s="3">
        <f t="shared" si="5"/>
        <v>-1.188020427073175E-2</v>
      </c>
      <c r="I36" t="s">
        <v>29</v>
      </c>
      <c r="J36" s="4">
        <f>SQRT(J31*J31*K12*K12+J32*J32*L12*L12+2*J31*J32*K17)</f>
        <v>0.16936821233663057</v>
      </c>
      <c r="L36" s="30">
        <v>0.5</v>
      </c>
      <c r="M36" s="31">
        <f>L36*$J$36</f>
        <v>8.4684106168315287E-2</v>
      </c>
      <c r="N36" s="31">
        <f>L36*$J$35+(1-L36)*$J$27</f>
        <v>0.38704011240879427</v>
      </c>
    </row>
    <row r="37" spans="1:14" x14ac:dyDescent="0.25">
      <c r="A37" s="1">
        <v>45653</v>
      </c>
      <c r="B37">
        <v>33.28</v>
      </c>
      <c r="C37">
        <v>222.78</v>
      </c>
      <c r="D37">
        <v>283.66000000000003</v>
      </c>
      <c r="E37" s="3">
        <f t="shared" si="3"/>
        <v>-4.4970844789993135E-3</v>
      </c>
      <c r="F37" s="3">
        <f t="shared" si="4"/>
        <v>-9.4266563533502244E-3</v>
      </c>
      <c r="G37" s="3">
        <f t="shared" si="5"/>
        <v>-1.0171600445940057E-2</v>
      </c>
      <c r="I37" s="8" t="s">
        <v>96</v>
      </c>
      <c r="J37" s="3">
        <f>(J35-J27)/J36</f>
        <v>4.0555439261079789</v>
      </c>
      <c r="L37" s="30">
        <v>0.6</v>
      </c>
      <c r="M37" s="31">
        <f>L37*$J$36</f>
        <v>0.10162092740197834</v>
      </c>
      <c r="N37" s="31">
        <f>L37*$J$35+(1-L37)*$J$27</f>
        <v>0.45572813489055314</v>
      </c>
    </row>
    <row r="38" spans="1:14" x14ac:dyDescent="0.25">
      <c r="A38" s="1">
        <v>45652</v>
      </c>
      <c r="B38">
        <v>33.43</v>
      </c>
      <c r="C38">
        <v>224.89</v>
      </c>
      <c r="D38">
        <v>286.56</v>
      </c>
      <c r="E38" s="3">
        <f t="shared" si="3"/>
        <v>-2.9908778449352945E-4</v>
      </c>
      <c r="F38" s="3">
        <f t="shared" si="4"/>
        <v>2.1366578349087222E-3</v>
      </c>
      <c r="G38" s="3">
        <f t="shared" si="5"/>
        <v>5.9342003661324997E-4</v>
      </c>
      <c r="L38" s="30">
        <v>0.7</v>
      </c>
      <c r="M38" s="31">
        <f>L38*$J$36</f>
        <v>0.11855774863564139</v>
      </c>
      <c r="N38" s="31">
        <f>L38*$J$35+(1-L38)*$J$27</f>
        <v>0.52441615737231195</v>
      </c>
    </row>
    <row r="39" spans="1:14" x14ac:dyDescent="0.25">
      <c r="A39" s="1">
        <v>45650</v>
      </c>
      <c r="B39">
        <v>33.44</v>
      </c>
      <c r="C39">
        <v>224.41</v>
      </c>
      <c r="D39">
        <v>286.39</v>
      </c>
      <c r="E39" s="3">
        <f t="shared" si="3"/>
        <v>6.2997058499980113E-3</v>
      </c>
      <c r="F39" s="3">
        <f t="shared" si="4"/>
        <v>1.1112719100847393E-2</v>
      </c>
      <c r="G39" s="3">
        <f t="shared" si="5"/>
        <v>9.6839464197554393E-3</v>
      </c>
      <c r="I39" t="s">
        <v>97</v>
      </c>
      <c r="J39">
        <v>3</v>
      </c>
      <c r="L39" s="30">
        <v>0.8</v>
      </c>
      <c r="M39" s="31">
        <f>L39*$J$36</f>
        <v>0.13549456986930447</v>
      </c>
      <c r="N39" s="31">
        <f>L39*$J$35+(1-L39)*$J$27</f>
        <v>0.59310417985407082</v>
      </c>
    </row>
    <row r="40" spans="1:14" x14ac:dyDescent="0.25">
      <c r="A40" s="1">
        <v>45649</v>
      </c>
      <c r="B40">
        <v>33.229999999999997</v>
      </c>
      <c r="C40">
        <v>221.93</v>
      </c>
      <c r="D40">
        <v>283.63</v>
      </c>
      <c r="E40" s="3">
        <f t="shared" si="3"/>
        <v>8.7653576170085967E-3</v>
      </c>
      <c r="F40" s="3">
        <f t="shared" si="4"/>
        <v>-6.422802739370027E-3</v>
      </c>
      <c r="G40" s="3">
        <f t="shared" si="5"/>
        <v>-1.1628113151520244E-3</v>
      </c>
      <c r="I40" t="s">
        <v>100</v>
      </c>
      <c r="J40" s="3">
        <f>(J35-J27)/(J39*J36*J36)</f>
        <v>7.9817101256429313</v>
      </c>
      <c r="L40" s="30">
        <v>0.9</v>
      </c>
      <c r="M40" s="31">
        <f>L40*$J$36</f>
        <v>0.15243139110296752</v>
      </c>
      <c r="N40" s="31">
        <f>L40*$J$35+(1-L40)*$J$27</f>
        <v>0.6617922023358298</v>
      </c>
    </row>
    <row r="41" spans="1:14" x14ac:dyDescent="0.25">
      <c r="A41" s="1">
        <v>45646</v>
      </c>
      <c r="B41">
        <v>32.94</v>
      </c>
      <c r="C41">
        <v>223.36</v>
      </c>
      <c r="D41">
        <v>283.95999999999998</v>
      </c>
      <c r="E41" s="3">
        <f t="shared" si="3"/>
        <v>1.4679162663049075E-2</v>
      </c>
      <c r="F41" s="3">
        <f t="shared" si="4"/>
        <v>-2.504025633190314E-3</v>
      </c>
      <c r="G41" s="3">
        <f t="shared" si="5"/>
        <v>1.7549919331223209E-2</v>
      </c>
      <c r="I41" t="str">
        <f>IF(J40&gt;1,"The investor is leveraging","Part of the money stays in the risk-free asset")</f>
        <v>The investor is leveraging</v>
      </c>
      <c r="L41" s="30">
        <v>1</v>
      </c>
      <c r="M41" s="31">
        <f>L41*$J$36</f>
        <v>0.16936821233663057</v>
      </c>
      <c r="N41" s="31">
        <f>L41*$J$35+(1-L41)*$J$27</f>
        <v>0.73048022481758856</v>
      </c>
    </row>
    <row r="42" spans="1:14" x14ac:dyDescent="0.25">
      <c r="A42" s="1">
        <v>45645</v>
      </c>
      <c r="B42">
        <v>32.46</v>
      </c>
      <c r="C42">
        <v>223.92</v>
      </c>
      <c r="D42">
        <v>279.02</v>
      </c>
      <c r="E42" s="3">
        <f t="shared" si="3"/>
        <v>-9.2378759456377161E-4</v>
      </c>
      <c r="F42" s="3">
        <f t="shared" si="4"/>
        <v>1.6888869982117034E-2</v>
      </c>
      <c r="G42" s="3">
        <f t="shared" si="5"/>
        <v>4.9221361523457833E-3</v>
      </c>
      <c r="I42" t="s">
        <v>98</v>
      </c>
      <c r="J42" s="4">
        <f>J40*J35+(1-J40)*J27</f>
        <v>5.5260788455304395</v>
      </c>
      <c r="L42" s="30"/>
      <c r="M42" s="30"/>
    </row>
    <row r="43" spans="1:14" x14ac:dyDescent="0.25">
      <c r="A43" s="1">
        <v>45644</v>
      </c>
      <c r="B43">
        <v>32.49</v>
      </c>
      <c r="C43">
        <v>220.17</v>
      </c>
      <c r="D43">
        <v>277.64999999999998</v>
      </c>
      <c r="E43" s="3">
        <f t="shared" si="3"/>
        <v>-4.0711185057013585E-2</v>
      </c>
      <c r="F43" s="3">
        <f t="shared" si="4"/>
        <v>-3.9191015380524788E-2</v>
      </c>
      <c r="G43" s="3">
        <f t="shared" si="5"/>
        <v>-4.1586693959368863E-2</v>
      </c>
      <c r="I43" t="s">
        <v>99</v>
      </c>
      <c r="J43" s="4">
        <f>J40*J36</f>
        <v>1.3518479753693262</v>
      </c>
      <c r="L43" s="30"/>
      <c r="M43" s="30"/>
    </row>
    <row r="44" spans="1:14" x14ac:dyDescent="0.25">
      <c r="A44" s="1">
        <v>45643</v>
      </c>
      <c r="B44">
        <v>33.840000000000003</v>
      </c>
      <c r="C44">
        <v>228.97</v>
      </c>
      <c r="D44">
        <v>289.44</v>
      </c>
      <c r="E44" s="3">
        <f t="shared" si="3"/>
        <v>-1.0289668913187236E-2</v>
      </c>
      <c r="F44" s="3">
        <f t="shared" si="4"/>
        <v>-1.5710236702748022E-3</v>
      </c>
      <c r="G44" s="3">
        <f t="shared" si="5"/>
        <v>-3.3112613036559201E-3</v>
      </c>
      <c r="L44" s="30"/>
      <c r="M44" s="30"/>
    </row>
    <row r="45" spans="1:14" x14ac:dyDescent="0.25">
      <c r="A45" s="1">
        <v>45642</v>
      </c>
      <c r="B45">
        <v>34.19</v>
      </c>
      <c r="C45">
        <v>229.33</v>
      </c>
      <c r="D45">
        <v>290.39999999999998</v>
      </c>
      <c r="E45" s="3">
        <f t="shared" si="3"/>
        <v>-1.0474346562469015E-2</v>
      </c>
      <c r="F45" s="3">
        <f t="shared" si="4"/>
        <v>-6.4761717163781289E-3</v>
      </c>
      <c r="G45" s="3">
        <f t="shared" si="5"/>
        <v>1.1498360388769764E-2</v>
      </c>
      <c r="L45" s="30"/>
      <c r="M45" s="30"/>
    </row>
    <row r="46" spans="1:14" x14ac:dyDescent="0.25">
      <c r="A46" s="1">
        <v>45639</v>
      </c>
      <c r="B46">
        <v>34.549999999999997</v>
      </c>
      <c r="C46">
        <v>230.82</v>
      </c>
      <c r="D46">
        <v>287.08</v>
      </c>
      <c r="E46" s="3">
        <f t="shared" si="3"/>
        <v>-1.2368919376777155E-2</v>
      </c>
      <c r="F46" s="3">
        <f t="shared" si="4"/>
        <v>-6.2192478253530132E-3</v>
      </c>
      <c r="G46" s="3">
        <f t="shared" si="5"/>
        <v>-1.0085517065483966E-2</v>
      </c>
      <c r="L46" s="30"/>
      <c r="M46" s="30"/>
    </row>
    <row r="47" spans="1:14" x14ac:dyDescent="0.25">
      <c r="A47" s="1">
        <v>45638</v>
      </c>
      <c r="B47">
        <v>34.979999999999997</v>
      </c>
      <c r="C47">
        <v>232.26</v>
      </c>
      <c r="D47">
        <v>289.99</v>
      </c>
      <c r="E47" s="3">
        <f t="shared" si="3"/>
        <v>1.2368919376777178E-2</v>
      </c>
      <c r="F47" s="3">
        <f t="shared" si="4"/>
        <v>9.2565218225189993E-3</v>
      </c>
      <c r="G47" s="3">
        <f t="shared" si="5"/>
        <v>-5.9822773471947211E-3</v>
      </c>
      <c r="L47" s="30"/>
      <c r="M47" s="30"/>
    </row>
    <row r="48" spans="1:14" x14ac:dyDescent="0.25">
      <c r="A48" s="1">
        <v>45637</v>
      </c>
      <c r="B48">
        <v>34.549999999999997</v>
      </c>
      <c r="C48">
        <v>230.12</v>
      </c>
      <c r="D48">
        <v>291.73</v>
      </c>
      <c r="E48" s="3">
        <f t="shared" si="3"/>
        <v>-1.122475449223166E-2</v>
      </c>
      <c r="F48" s="3">
        <f t="shared" si="4"/>
        <v>-6.9288342333306491E-3</v>
      </c>
      <c r="G48" s="3">
        <f t="shared" si="5"/>
        <v>1.4014727140850084E-2</v>
      </c>
      <c r="L48" s="30"/>
      <c r="M48" s="30"/>
    </row>
    <row r="49" spans="1:13" x14ac:dyDescent="0.25">
      <c r="A49" s="1">
        <v>45636</v>
      </c>
      <c r="B49">
        <v>34.94</v>
      </c>
      <c r="C49">
        <v>231.72</v>
      </c>
      <c r="D49">
        <v>287.67</v>
      </c>
      <c r="E49" s="3">
        <f t="shared" si="3"/>
        <v>-4.2309153748756746E-2</v>
      </c>
      <c r="F49" s="3">
        <f t="shared" si="4"/>
        <v>7.4504373052279487E-3</v>
      </c>
      <c r="G49" s="3">
        <f t="shared" si="5"/>
        <v>2.4363091544042713E-3</v>
      </c>
      <c r="L49" s="30"/>
      <c r="M49" s="30"/>
    </row>
    <row r="50" spans="1:13" x14ac:dyDescent="0.25">
      <c r="A50" s="1">
        <v>45635</v>
      </c>
      <c r="B50">
        <v>36.450000000000003</v>
      </c>
      <c r="C50">
        <v>230</v>
      </c>
      <c r="D50">
        <v>286.97000000000003</v>
      </c>
      <c r="E50" s="3">
        <f t="shared" si="3"/>
        <v>6.8823396229417376E-3</v>
      </c>
      <c r="F50" s="3">
        <f t="shared" si="4"/>
        <v>-3.4359417853455851E-2</v>
      </c>
      <c r="G50" s="3">
        <f t="shared" si="5"/>
        <v>-1.9394630972737879E-2</v>
      </c>
      <c r="L50" s="30"/>
      <c r="M50" s="30"/>
    </row>
    <row r="51" spans="1:13" x14ac:dyDescent="0.25">
      <c r="A51" s="1">
        <v>45632</v>
      </c>
      <c r="B51">
        <v>36.200000000000003</v>
      </c>
      <c r="C51">
        <v>238.04</v>
      </c>
      <c r="D51">
        <v>292.58999999999997</v>
      </c>
      <c r="E51" s="3">
        <f t="shared" si="3"/>
        <v>8.2907286771882304E-4</v>
      </c>
      <c r="F51" s="3">
        <f t="shared" si="4"/>
        <v>1.3917608688279065E-2</v>
      </c>
      <c r="G51" s="3">
        <f t="shared" si="5"/>
        <v>3.7602338624798218E-4</v>
      </c>
      <c r="L51" s="30"/>
      <c r="M51" s="30"/>
    </row>
    <row r="52" spans="1:13" x14ac:dyDescent="0.25">
      <c r="A52" s="1">
        <v>45631</v>
      </c>
      <c r="B52">
        <v>36.17</v>
      </c>
      <c r="C52">
        <v>234.75</v>
      </c>
      <c r="D52">
        <v>292.48</v>
      </c>
      <c r="E52" s="3">
        <f t="shared" si="3"/>
        <v>-5.239223345271448E-3</v>
      </c>
      <c r="F52" s="3">
        <f t="shared" si="4"/>
        <v>5.3818684489658078E-3</v>
      </c>
      <c r="G52" s="3">
        <f t="shared" si="5"/>
        <v>9.7920419591966488E-3</v>
      </c>
    </row>
    <row r="53" spans="1:13" x14ac:dyDescent="0.25">
      <c r="A53" s="1">
        <v>45630</v>
      </c>
      <c r="B53">
        <v>36.36</v>
      </c>
      <c r="C53">
        <v>233.49</v>
      </c>
      <c r="D53">
        <v>289.63</v>
      </c>
      <c r="E53" s="3">
        <f t="shared" si="3"/>
        <v>-1.1756799807404862E-2</v>
      </c>
      <c r="F53" s="3">
        <f t="shared" si="4"/>
        <v>1.9417246085166942E-2</v>
      </c>
      <c r="G53" s="3">
        <f t="shared" si="5"/>
        <v>1.6360710241092702E-2</v>
      </c>
    </row>
    <row r="54" spans="1:13" x14ac:dyDescent="0.25">
      <c r="A54" s="1">
        <v>45629</v>
      </c>
      <c r="B54">
        <v>36.79</v>
      </c>
      <c r="C54">
        <v>229</v>
      </c>
      <c r="D54">
        <v>284.93</v>
      </c>
      <c r="E54" s="3">
        <f t="shared" si="3"/>
        <v>9.2846106620158107E-3</v>
      </c>
      <c r="F54" s="3">
        <f t="shared" si="4"/>
        <v>7.0553985785398437E-3</v>
      </c>
      <c r="G54" s="3">
        <f t="shared" si="5"/>
        <v>-4.5870836949132403E-3</v>
      </c>
    </row>
    <row r="55" spans="1:13" x14ac:dyDescent="0.25">
      <c r="A55" s="1">
        <v>45628</v>
      </c>
      <c r="B55">
        <v>36.450000000000003</v>
      </c>
      <c r="C55">
        <v>227.39</v>
      </c>
      <c r="D55">
        <v>286.24</v>
      </c>
      <c r="E55" s="3">
        <f t="shared" si="3"/>
        <v>2.8382539577286512E-2</v>
      </c>
      <c r="F55" s="3">
        <f t="shared" si="4"/>
        <v>-8.7950747638130153E-5</v>
      </c>
      <c r="G55" s="3">
        <f t="shared" si="5"/>
        <v>-9.9074385564103199E-3</v>
      </c>
    </row>
    <row r="56" spans="1:13" x14ac:dyDescent="0.25">
      <c r="A56" s="1">
        <v>45625</v>
      </c>
      <c r="B56">
        <v>35.43</v>
      </c>
      <c r="C56">
        <v>227.41</v>
      </c>
      <c r="D56">
        <v>289.08999999999997</v>
      </c>
      <c r="E56" s="3">
        <f t="shared" si="3"/>
        <v>2.1972634589920773E-2</v>
      </c>
      <c r="F56" s="3">
        <f t="shared" si="4"/>
        <v>2.1570232649714338E-3</v>
      </c>
      <c r="G56" s="3">
        <f t="shared" si="5"/>
        <v>1.2145827851389906E-2</v>
      </c>
    </row>
    <row r="57" spans="1:13" x14ac:dyDescent="0.25">
      <c r="A57" s="1">
        <v>45623</v>
      </c>
      <c r="B57">
        <v>34.659999999999997</v>
      </c>
      <c r="C57">
        <v>226.92</v>
      </c>
      <c r="D57">
        <v>285.60000000000002</v>
      </c>
      <c r="E57" s="3">
        <f t="shared" si="3"/>
        <v>-0.12053618270386017</v>
      </c>
      <c r="F57" s="3">
        <f t="shared" si="4"/>
        <v>-8.3818373330662495E-3</v>
      </c>
      <c r="G57" s="3">
        <f t="shared" si="5"/>
        <v>-8.9930544393586765E-3</v>
      </c>
    </row>
    <row r="58" spans="1:13" x14ac:dyDescent="0.25">
      <c r="A58" s="1">
        <v>45622</v>
      </c>
      <c r="B58">
        <v>39.1</v>
      </c>
      <c r="C58">
        <v>228.83</v>
      </c>
      <c r="D58">
        <v>288.18</v>
      </c>
      <c r="E58" s="3">
        <f t="shared" si="3"/>
        <v>-5.1020518838953985E-3</v>
      </c>
      <c r="F58" s="3">
        <f t="shared" si="4"/>
        <v>1.1869314656529954E-2</v>
      </c>
      <c r="G58" s="3">
        <f t="shared" si="5"/>
        <v>6.2480476884217804E-4</v>
      </c>
    </row>
    <row r="59" spans="1:13" x14ac:dyDescent="0.25">
      <c r="A59" s="1">
        <v>45621</v>
      </c>
      <c r="B59">
        <v>39.299999999999997</v>
      </c>
      <c r="C59">
        <v>226.13</v>
      </c>
      <c r="D59">
        <v>288</v>
      </c>
      <c r="E59" s="3">
        <f t="shared" si="3"/>
        <v>3.0223145005743031E-2</v>
      </c>
      <c r="F59" s="3">
        <f t="shared" si="4"/>
        <v>1.4072821872623544E-2</v>
      </c>
      <c r="G59" s="3">
        <f t="shared" si="5"/>
        <v>1.2965636209469045E-2</v>
      </c>
    </row>
    <row r="60" spans="1:13" x14ac:dyDescent="0.25">
      <c r="A60" s="1">
        <v>45618</v>
      </c>
      <c r="B60">
        <v>38.130000000000003</v>
      </c>
      <c r="C60">
        <v>222.97</v>
      </c>
      <c r="D60">
        <v>284.29000000000002</v>
      </c>
      <c r="E60" s="3">
        <f t="shared" si="3"/>
        <v>5.7864443412289713E-3</v>
      </c>
      <c r="F60" s="3">
        <f t="shared" si="4"/>
        <v>2.5596708858518242E-3</v>
      </c>
      <c r="G60" s="3">
        <f t="shared" si="5"/>
        <v>2.9943833692602632E-3</v>
      </c>
    </row>
    <row r="61" spans="1:13" x14ac:dyDescent="0.25">
      <c r="A61" s="1">
        <v>45617</v>
      </c>
      <c r="B61">
        <v>37.909999999999997</v>
      </c>
      <c r="C61">
        <v>222.4</v>
      </c>
      <c r="D61">
        <v>283.44</v>
      </c>
      <c r="E61" s="3">
        <f t="shared" si="3"/>
        <v>3.2983282139979274E-2</v>
      </c>
      <c r="F61" s="3">
        <f t="shared" si="4"/>
        <v>3.57017321798292E-2</v>
      </c>
      <c r="G61" s="3">
        <f t="shared" si="5"/>
        <v>1.1568206789248674E-2</v>
      </c>
    </row>
    <row r="62" spans="1:13" x14ac:dyDescent="0.25">
      <c r="A62" s="1">
        <v>45616</v>
      </c>
      <c r="B62">
        <v>36.68</v>
      </c>
      <c r="C62">
        <v>214.6</v>
      </c>
      <c r="D62">
        <v>280.18</v>
      </c>
      <c r="E62" s="3">
        <f t="shared" si="3"/>
        <v>-5.1665648577890353E-3</v>
      </c>
      <c r="F62" s="3">
        <f t="shared" si="4"/>
        <v>2.0478531343540701E-2</v>
      </c>
      <c r="G62" s="3">
        <f t="shared" si="5"/>
        <v>3.2531979714596573E-3</v>
      </c>
    </row>
    <row r="63" spans="1:13" x14ac:dyDescent="0.25">
      <c r="A63" s="1">
        <v>45615</v>
      </c>
      <c r="B63">
        <v>36.869999999999997</v>
      </c>
      <c r="C63">
        <v>210.25</v>
      </c>
      <c r="D63">
        <v>279.27</v>
      </c>
      <c r="E63" s="3">
        <f t="shared" si="3"/>
        <v>-1.5074309670284548E-2</v>
      </c>
      <c r="F63" s="3">
        <f t="shared" si="4"/>
        <v>1.0326620428369205E-2</v>
      </c>
      <c r="G63" s="3">
        <f t="shared" si="5"/>
        <v>-7.7757561135273932E-3</v>
      </c>
    </row>
    <row r="64" spans="1:13" x14ac:dyDescent="0.25">
      <c r="A64" s="1">
        <v>45614</v>
      </c>
      <c r="B64">
        <v>37.43</v>
      </c>
      <c r="C64">
        <v>208.09</v>
      </c>
      <c r="D64">
        <v>281.45</v>
      </c>
      <c r="E64" s="3">
        <f t="shared" si="3"/>
        <v>1.9150956164047963E-2</v>
      </c>
      <c r="F64" s="3">
        <f t="shared" si="4"/>
        <v>1.5009480963891625E-2</v>
      </c>
      <c r="G64" s="3">
        <f t="shared" si="5"/>
        <v>9.5318716082954252E-3</v>
      </c>
    </row>
    <row r="65" spans="1:7" x14ac:dyDescent="0.25">
      <c r="A65" s="1">
        <v>45611</v>
      </c>
      <c r="B65">
        <v>36.72</v>
      </c>
      <c r="C65">
        <v>204.99</v>
      </c>
      <c r="D65">
        <v>278.77999999999997</v>
      </c>
      <c r="E65" s="3">
        <f t="shared" si="3"/>
        <v>6.2833153039333319E-3</v>
      </c>
      <c r="F65" s="3">
        <f t="shared" si="4"/>
        <v>-1.9325206469363261E-2</v>
      </c>
      <c r="G65" s="3">
        <f t="shared" si="5"/>
        <v>-1.1555050107343822E-2</v>
      </c>
    </row>
    <row r="66" spans="1:7" x14ac:dyDescent="0.25">
      <c r="A66" s="1">
        <v>45610</v>
      </c>
      <c r="B66">
        <v>36.49</v>
      </c>
      <c r="C66">
        <v>208.99</v>
      </c>
      <c r="D66">
        <v>282.02</v>
      </c>
      <c r="E66" s="3">
        <f t="shared" ref="E66:E97" si="6">LN(B66/B67)</f>
        <v>-8.7312969425734892E-3</v>
      </c>
      <c r="F66" s="3">
        <f t="shared" ref="F66:F97" si="7">LN(C66/C67)</f>
        <v>-9.1925107321089768E-3</v>
      </c>
      <c r="G66" s="3">
        <f t="shared" ref="G66:G97" si="8">LN(D66/D67)</f>
        <v>-1.5655828221136908E-2</v>
      </c>
    </row>
    <row r="67" spans="1:7" x14ac:dyDescent="0.25">
      <c r="A67" s="1">
        <v>45609</v>
      </c>
      <c r="B67">
        <v>36.81</v>
      </c>
      <c r="C67">
        <v>210.92</v>
      </c>
      <c r="D67">
        <v>286.47000000000003</v>
      </c>
      <c r="E67" s="3">
        <f t="shared" si="6"/>
        <v>-8.1169276815763539E-3</v>
      </c>
      <c r="F67" s="3">
        <f t="shared" si="7"/>
        <v>2.8450851346521202E-4</v>
      </c>
      <c r="G67" s="3">
        <f t="shared" si="8"/>
        <v>1.572080185431755E-3</v>
      </c>
    </row>
    <row r="68" spans="1:7" x14ac:dyDescent="0.25">
      <c r="A68" s="1">
        <v>45608</v>
      </c>
      <c r="B68">
        <v>37.11</v>
      </c>
      <c r="C68">
        <v>210.86</v>
      </c>
      <c r="D68">
        <v>286.02</v>
      </c>
      <c r="E68" s="3">
        <f t="shared" si="6"/>
        <v>-1.4977546631443494E-2</v>
      </c>
      <c r="F68" s="3">
        <f t="shared" si="7"/>
        <v>-1.2770241635087914E-2</v>
      </c>
      <c r="G68" s="3">
        <f t="shared" si="8"/>
        <v>3.8466246343542347E-4</v>
      </c>
    </row>
    <row r="69" spans="1:7" x14ac:dyDescent="0.25">
      <c r="A69" s="1">
        <v>45607</v>
      </c>
      <c r="B69">
        <v>37.67</v>
      </c>
      <c r="C69">
        <v>213.57</v>
      </c>
      <c r="D69">
        <v>285.91000000000003</v>
      </c>
      <c r="E69" s="3">
        <f t="shared" si="6"/>
        <v>2.2822845899017979E-2</v>
      </c>
      <c r="F69" s="3">
        <f t="shared" si="7"/>
        <v>-7.0209930567903642E-4</v>
      </c>
      <c r="G69" s="3">
        <f t="shared" si="8"/>
        <v>1.803440382969778E-2</v>
      </c>
    </row>
    <row r="70" spans="1:7" x14ac:dyDescent="0.25">
      <c r="A70" s="1">
        <v>45604</v>
      </c>
      <c r="B70">
        <v>36.82</v>
      </c>
      <c r="C70">
        <v>213.72</v>
      </c>
      <c r="D70">
        <v>280.8</v>
      </c>
      <c r="E70" s="3">
        <f t="shared" si="6"/>
        <v>-1.4023962308644852E-2</v>
      </c>
      <c r="F70" s="3">
        <f t="shared" si="7"/>
        <v>1.4038043119853367E-4</v>
      </c>
      <c r="G70" s="3">
        <f t="shared" si="8"/>
        <v>1.1173300598125255E-2</v>
      </c>
    </row>
    <row r="71" spans="1:7" x14ac:dyDescent="0.25">
      <c r="A71" s="1">
        <v>45603</v>
      </c>
      <c r="B71">
        <v>37.340000000000003</v>
      </c>
      <c r="C71">
        <v>213.69</v>
      </c>
      <c r="D71">
        <v>277.68</v>
      </c>
      <c r="E71" s="3">
        <f t="shared" si="6"/>
        <v>1.1582621071669446E-2</v>
      </c>
      <c r="F71" s="3">
        <f t="shared" si="7"/>
        <v>4.2125957233233674E-4</v>
      </c>
      <c r="G71" s="3">
        <f t="shared" si="8"/>
        <v>5.1269202817171991E-3</v>
      </c>
    </row>
    <row r="72" spans="1:7" x14ac:dyDescent="0.25">
      <c r="A72" s="1">
        <v>45602</v>
      </c>
      <c r="B72">
        <v>36.909999999999997</v>
      </c>
      <c r="C72">
        <v>213.6</v>
      </c>
      <c r="D72">
        <v>276.26</v>
      </c>
      <c r="E72" s="3">
        <f t="shared" si="6"/>
        <v>7.3419772359776267E-3</v>
      </c>
      <c r="F72" s="3">
        <f t="shared" si="7"/>
        <v>2.8636474907210312E-2</v>
      </c>
      <c r="G72" s="3">
        <f t="shared" si="8"/>
        <v>6.1969368339706191E-2</v>
      </c>
    </row>
    <row r="73" spans="1:7" x14ac:dyDescent="0.25">
      <c r="A73" s="1">
        <v>45601</v>
      </c>
      <c r="B73">
        <v>36.64</v>
      </c>
      <c r="C73">
        <v>207.57</v>
      </c>
      <c r="D73">
        <v>259.66000000000003</v>
      </c>
      <c r="E73" s="3">
        <f t="shared" si="6"/>
        <v>1.7899417714990234E-2</v>
      </c>
      <c r="F73" s="3">
        <f t="shared" si="7"/>
        <v>6.0402706057399716E-3</v>
      </c>
      <c r="G73" s="3">
        <f t="shared" si="8"/>
        <v>1.2517360049919031E-2</v>
      </c>
    </row>
    <row r="74" spans="1:7" x14ac:dyDescent="0.25">
      <c r="A74" s="1">
        <v>45600</v>
      </c>
      <c r="B74">
        <v>35.99</v>
      </c>
      <c r="C74">
        <v>206.32</v>
      </c>
      <c r="D74">
        <v>256.43</v>
      </c>
      <c r="E74" s="3">
        <f t="shared" si="6"/>
        <v>-8.0255031559964517E-3</v>
      </c>
      <c r="F74" s="3">
        <f t="shared" si="7"/>
        <v>-9.3109194738628005E-3</v>
      </c>
      <c r="G74" s="3">
        <f t="shared" si="8"/>
        <v>-1.6015816225605752E-2</v>
      </c>
    </row>
    <row r="75" spans="1:7" x14ac:dyDescent="0.25">
      <c r="A75" s="1">
        <v>45597</v>
      </c>
      <c r="B75">
        <v>36.28</v>
      </c>
      <c r="C75">
        <v>208.25</v>
      </c>
      <c r="D75">
        <v>260.57</v>
      </c>
      <c r="E75" s="3">
        <f t="shared" si="6"/>
        <v>2.1170707122966488E-2</v>
      </c>
      <c r="F75" s="3">
        <f t="shared" si="7"/>
        <v>7.3740604527150313E-3</v>
      </c>
      <c r="G75" s="3">
        <f t="shared" si="8"/>
        <v>2.1129879737716707E-3</v>
      </c>
    </row>
    <row r="76" spans="1:7" x14ac:dyDescent="0.25">
      <c r="A76" s="1">
        <v>45596</v>
      </c>
      <c r="B76">
        <v>35.520000000000003</v>
      </c>
      <c r="C76">
        <v>206.72</v>
      </c>
      <c r="D76">
        <v>260.02</v>
      </c>
      <c r="E76" s="3">
        <f t="shared" si="6"/>
        <v>-2.8311632825891192E-2</v>
      </c>
      <c r="F76" s="3">
        <f t="shared" si="7"/>
        <v>8.8431653493828977E-3</v>
      </c>
      <c r="G76" s="3">
        <f t="shared" si="8"/>
        <v>-1.6174915852048187E-2</v>
      </c>
    </row>
    <row r="77" spans="1:7" x14ac:dyDescent="0.25">
      <c r="A77" s="1">
        <v>45595</v>
      </c>
      <c r="B77">
        <v>36.54</v>
      </c>
      <c r="C77">
        <v>204.9</v>
      </c>
      <c r="D77">
        <v>264.26</v>
      </c>
      <c r="E77" s="3">
        <f t="shared" si="6"/>
        <v>-1.413066990735312E-2</v>
      </c>
      <c r="F77" s="3">
        <f t="shared" si="7"/>
        <v>-2.6631001005678015E-2</v>
      </c>
      <c r="G77" s="3">
        <f t="shared" si="8"/>
        <v>1.4011173360970008E-3</v>
      </c>
    </row>
    <row r="78" spans="1:7" x14ac:dyDescent="0.25">
      <c r="A78" s="1">
        <v>45594</v>
      </c>
      <c r="B78">
        <v>37.06</v>
      </c>
      <c r="C78">
        <v>210.43</v>
      </c>
      <c r="D78">
        <v>263.89</v>
      </c>
      <c r="E78" s="3">
        <f t="shared" si="6"/>
        <v>-9.6670999887297788E-3</v>
      </c>
      <c r="F78" s="3">
        <f t="shared" si="7"/>
        <v>-1.171648495446909E-2</v>
      </c>
      <c r="G78" s="3">
        <f t="shared" si="8"/>
        <v>5.0908095661054012E-3</v>
      </c>
    </row>
    <row r="79" spans="1:7" x14ac:dyDescent="0.25">
      <c r="A79" s="1">
        <v>45593</v>
      </c>
      <c r="B79">
        <v>37.42</v>
      </c>
      <c r="C79">
        <v>212.91</v>
      </c>
      <c r="D79">
        <v>262.55</v>
      </c>
      <c r="E79" s="3">
        <f t="shared" si="6"/>
        <v>1.4535922157550441E-2</v>
      </c>
      <c r="F79" s="3">
        <f t="shared" si="7"/>
        <v>-8.2324240609957904E-3</v>
      </c>
      <c r="G79" s="3">
        <f t="shared" si="8"/>
        <v>1.6391259125722499E-3</v>
      </c>
    </row>
    <row r="80" spans="1:7" x14ac:dyDescent="0.25">
      <c r="A80" s="1">
        <v>45590</v>
      </c>
      <c r="B80">
        <v>36.880000000000003</v>
      </c>
      <c r="C80">
        <v>214.67</v>
      </c>
      <c r="D80">
        <v>262.12</v>
      </c>
      <c r="E80" s="3">
        <f t="shared" si="6"/>
        <v>1.117939386780425E-2</v>
      </c>
      <c r="F80" s="3">
        <f t="shared" si="7"/>
        <v>-1.7180490010683683E-2</v>
      </c>
      <c r="G80" s="3">
        <f t="shared" si="8"/>
        <v>5.7006371499751067E-3</v>
      </c>
    </row>
    <row r="81" spans="1:7" x14ac:dyDescent="0.25">
      <c r="A81" s="1">
        <v>45589</v>
      </c>
      <c r="B81">
        <v>36.47</v>
      </c>
      <c r="C81">
        <v>218.39</v>
      </c>
      <c r="D81">
        <v>260.63</v>
      </c>
      <c r="E81" s="3">
        <f t="shared" si="6"/>
        <v>1.7146437774959469E-2</v>
      </c>
      <c r="F81" s="3">
        <f t="shared" si="7"/>
        <v>-6.3682460880495728E-2</v>
      </c>
      <c r="G81" s="3">
        <f t="shared" si="8"/>
        <v>1.0840110006362279E-2</v>
      </c>
    </row>
    <row r="82" spans="1:7" x14ac:dyDescent="0.25">
      <c r="A82" s="1">
        <v>45588</v>
      </c>
      <c r="B82">
        <v>35.85</v>
      </c>
      <c r="C82">
        <v>232.75</v>
      </c>
      <c r="D82">
        <v>257.82</v>
      </c>
      <c r="E82" s="3">
        <f t="shared" si="6"/>
        <v>-1.054393786135642E-2</v>
      </c>
      <c r="F82" s="3">
        <f t="shared" si="7"/>
        <v>2.1505384632285649E-3</v>
      </c>
      <c r="G82" s="3">
        <f t="shared" si="8"/>
        <v>-2.9353173667034847E-2</v>
      </c>
    </row>
    <row r="83" spans="1:7" x14ac:dyDescent="0.25">
      <c r="A83" s="1">
        <v>45587</v>
      </c>
      <c r="B83">
        <v>36.229999999999997</v>
      </c>
      <c r="C83">
        <v>232.25</v>
      </c>
      <c r="D83">
        <v>265.5</v>
      </c>
      <c r="E83" s="3">
        <f t="shared" si="6"/>
        <v>-6.3282643435312157E-3</v>
      </c>
      <c r="F83" s="3">
        <f t="shared" si="7"/>
        <v>2.1551732479834118E-3</v>
      </c>
      <c r="G83" s="3">
        <f t="shared" si="8"/>
        <v>1.9982286513990756E-3</v>
      </c>
    </row>
    <row r="84" spans="1:7" x14ac:dyDescent="0.25">
      <c r="A84" s="1">
        <v>45586</v>
      </c>
      <c r="B84">
        <v>36.46</v>
      </c>
      <c r="C84">
        <v>231.75</v>
      </c>
      <c r="D84">
        <v>264.97000000000003</v>
      </c>
      <c r="E84" s="3">
        <f t="shared" si="6"/>
        <v>-2.2241220566873485E-2</v>
      </c>
      <c r="F84" s="3">
        <f t="shared" si="7"/>
        <v>-1.9398648178265917E-3</v>
      </c>
      <c r="G84" s="3">
        <f t="shared" si="8"/>
        <v>-2.3748055716844539E-3</v>
      </c>
    </row>
    <row r="85" spans="1:7" x14ac:dyDescent="0.25">
      <c r="A85" s="1">
        <v>45583</v>
      </c>
      <c r="B85">
        <v>37.28</v>
      </c>
      <c r="C85">
        <v>232.2</v>
      </c>
      <c r="D85">
        <v>265.60000000000002</v>
      </c>
      <c r="E85" s="3">
        <f t="shared" si="6"/>
        <v>-8.0150041679287812E-3</v>
      </c>
      <c r="F85" s="3">
        <f t="shared" si="7"/>
        <v>-2.9242301735766369E-3</v>
      </c>
      <c r="G85" s="3">
        <f t="shared" si="8"/>
        <v>3.8855510340798966E-3</v>
      </c>
    </row>
    <row r="86" spans="1:7" x14ac:dyDescent="0.25">
      <c r="A86" s="1">
        <v>45582</v>
      </c>
      <c r="B86">
        <v>37.58</v>
      </c>
      <c r="C86">
        <v>232.88</v>
      </c>
      <c r="D86">
        <v>264.57</v>
      </c>
      <c r="E86" s="3">
        <f t="shared" si="6"/>
        <v>1.0701011692021294E-2</v>
      </c>
      <c r="F86" s="3">
        <f t="shared" si="7"/>
        <v>-3.3865641625990084E-3</v>
      </c>
      <c r="G86" s="3">
        <f t="shared" si="8"/>
        <v>7.5881534190897415E-3</v>
      </c>
    </row>
    <row r="87" spans="1:7" x14ac:dyDescent="0.25">
      <c r="A87" s="1">
        <v>45581</v>
      </c>
      <c r="B87">
        <v>37.18</v>
      </c>
      <c r="C87">
        <v>233.67</v>
      </c>
      <c r="D87">
        <v>262.57</v>
      </c>
      <c r="E87" s="3">
        <f t="shared" si="6"/>
        <v>5.6642093447574586E-3</v>
      </c>
      <c r="F87" s="3">
        <f t="shared" si="7"/>
        <v>3.0430985916455387E-3</v>
      </c>
      <c r="G87" s="3">
        <f t="shared" si="8"/>
        <v>7.6077973743237624E-3</v>
      </c>
    </row>
    <row r="88" spans="1:7" x14ac:dyDescent="0.25">
      <c r="A88" s="1">
        <v>45580</v>
      </c>
      <c r="B88">
        <v>36.97</v>
      </c>
      <c r="C88">
        <v>232.96</v>
      </c>
      <c r="D88">
        <v>260.58</v>
      </c>
      <c r="E88" s="3">
        <f t="shared" si="6"/>
        <v>-1.2632878660850708E-2</v>
      </c>
      <c r="F88" s="3">
        <f t="shared" si="7"/>
        <v>-9.8245205239740896E-3</v>
      </c>
      <c r="G88" s="3">
        <f t="shared" si="8"/>
        <v>-3.7537869182897214E-3</v>
      </c>
    </row>
    <row r="89" spans="1:7" x14ac:dyDescent="0.25">
      <c r="A89" s="1">
        <v>45579</v>
      </c>
      <c r="B89">
        <v>37.44</v>
      </c>
      <c r="C89">
        <v>235.26</v>
      </c>
      <c r="D89">
        <v>261.56</v>
      </c>
      <c r="E89" s="3">
        <f t="shared" si="6"/>
        <v>1.1551505211326711E-2</v>
      </c>
      <c r="F89" s="3">
        <f t="shared" si="7"/>
        <v>8.537574269391373E-3</v>
      </c>
      <c r="G89" s="3">
        <f t="shared" si="8"/>
        <v>-4.0824948439282778E-3</v>
      </c>
    </row>
    <row r="90" spans="1:7" x14ac:dyDescent="0.25">
      <c r="A90" s="1">
        <v>45576</v>
      </c>
      <c r="B90">
        <v>37.01</v>
      </c>
      <c r="C90">
        <v>233.26</v>
      </c>
      <c r="D90">
        <v>262.63</v>
      </c>
      <c r="E90" s="3">
        <f t="shared" si="6"/>
        <v>7.0499207392188618E-3</v>
      </c>
      <c r="F90" s="3">
        <f t="shared" si="7"/>
        <v>1.0294244711085605E-3</v>
      </c>
      <c r="G90" s="3">
        <f t="shared" si="8"/>
        <v>7.9897972675853513E-3</v>
      </c>
    </row>
    <row r="91" spans="1:7" x14ac:dyDescent="0.25">
      <c r="A91" s="1">
        <v>45575</v>
      </c>
      <c r="B91">
        <v>36.75</v>
      </c>
      <c r="C91">
        <v>233.02</v>
      </c>
      <c r="D91">
        <v>260.54000000000002</v>
      </c>
      <c r="E91" s="3">
        <f t="shared" si="6"/>
        <v>4.6365826961260181E-3</v>
      </c>
      <c r="F91" s="3">
        <f t="shared" si="7"/>
        <v>-5.4780587219549056E-3</v>
      </c>
      <c r="G91" s="3">
        <f t="shared" si="8"/>
        <v>-5.1299833034724653E-3</v>
      </c>
    </row>
    <row r="92" spans="1:7" x14ac:dyDescent="0.25">
      <c r="A92" s="1">
        <v>45574</v>
      </c>
      <c r="B92">
        <v>36.58</v>
      </c>
      <c r="C92">
        <v>234.3</v>
      </c>
      <c r="D92">
        <v>261.88</v>
      </c>
      <c r="E92" s="3">
        <f t="shared" si="6"/>
        <v>1.5982704506609494E-2</v>
      </c>
      <c r="F92" s="3">
        <f t="shared" si="7"/>
        <v>2.454110891611766E-2</v>
      </c>
      <c r="G92" s="3">
        <f t="shared" si="8"/>
        <v>2.0445876751696471E-2</v>
      </c>
    </row>
    <row r="93" spans="1:7" x14ac:dyDescent="0.25">
      <c r="A93" s="1">
        <v>45573</v>
      </c>
      <c r="B93">
        <v>36</v>
      </c>
      <c r="C93">
        <v>228.62</v>
      </c>
      <c r="D93">
        <v>256.58</v>
      </c>
      <c r="E93" s="3">
        <f t="shared" si="6"/>
        <v>2.5031302181186964E-3</v>
      </c>
      <c r="F93" s="3">
        <f t="shared" si="7"/>
        <v>6.5827244329165931E-3</v>
      </c>
      <c r="G93" s="3">
        <f t="shared" si="8"/>
        <v>5.5497074474396236E-3</v>
      </c>
    </row>
    <row r="94" spans="1:7" x14ac:dyDescent="0.25">
      <c r="A94" s="1">
        <v>45572</v>
      </c>
      <c r="B94">
        <v>35.909999999999997</v>
      </c>
      <c r="C94">
        <v>227.12</v>
      </c>
      <c r="D94">
        <v>255.16</v>
      </c>
      <c r="E94" s="3">
        <f t="shared" si="6"/>
        <v>-2.2253138529480512E-3</v>
      </c>
      <c r="F94" s="3">
        <f t="shared" si="7"/>
        <v>4.9435128924297982E-3</v>
      </c>
      <c r="G94" s="3">
        <f t="shared" si="8"/>
        <v>2.1578367240593127E-3</v>
      </c>
    </row>
    <row r="95" spans="1:7" x14ac:dyDescent="0.25">
      <c r="A95" s="1">
        <v>45569</v>
      </c>
      <c r="B95">
        <v>35.99</v>
      </c>
      <c r="C95">
        <v>226</v>
      </c>
      <c r="D95">
        <v>254.61</v>
      </c>
      <c r="E95" s="3">
        <f t="shared" si="6"/>
        <v>1.08954842329546E-2</v>
      </c>
      <c r="F95" s="3">
        <f t="shared" si="7"/>
        <v>1.4619622126230997E-2</v>
      </c>
      <c r="G95" s="3">
        <f t="shared" si="8"/>
        <v>2.0354210991773442E-2</v>
      </c>
    </row>
    <row r="96" spans="1:7" x14ac:dyDescent="0.25">
      <c r="A96" s="1">
        <v>45568</v>
      </c>
      <c r="B96">
        <v>35.6</v>
      </c>
      <c r="C96">
        <v>222.72</v>
      </c>
      <c r="D96">
        <v>249.48</v>
      </c>
      <c r="E96" s="3">
        <f t="shared" si="6"/>
        <v>1.1867898548572751E-2</v>
      </c>
      <c r="F96" s="3">
        <f t="shared" si="7"/>
        <v>1.3515857236879276E-2</v>
      </c>
      <c r="G96" s="3">
        <f t="shared" si="8"/>
        <v>2.6490081715768625E-3</v>
      </c>
    </row>
    <row r="97" spans="1:7" x14ac:dyDescent="0.25">
      <c r="A97" s="1">
        <v>45567</v>
      </c>
      <c r="B97">
        <v>35.18</v>
      </c>
      <c r="C97">
        <v>219.73</v>
      </c>
      <c r="D97">
        <v>248.82</v>
      </c>
      <c r="E97" s="3">
        <f t="shared" si="6"/>
        <v>1.2010438912220806E-2</v>
      </c>
      <c r="F97" s="3">
        <f t="shared" si="7"/>
        <v>1.7308922969524888E-3</v>
      </c>
      <c r="G97" s="3">
        <f t="shared" si="8"/>
        <v>1.1073057169065606E-2</v>
      </c>
    </row>
    <row r="98" spans="1:7" x14ac:dyDescent="0.25">
      <c r="A98" s="1">
        <v>45566</v>
      </c>
      <c r="B98">
        <v>34.76</v>
      </c>
      <c r="C98">
        <v>219.35</v>
      </c>
      <c r="D98">
        <v>246.08</v>
      </c>
      <c r="E98" s="3">
        <f t="shared" ref="E98:E126" si="9">LN(B98/B99)</f>
        <v>-3.1433991146999921E-2</v>
      </c>
      <c r="F98" s="3">
        <f t="shared" ref="F98:F126" si="10">LN(C98/C99)</f>
        <v>-7.8559993528393209E-3</v>
      </c>
      <c r="G98" s="3">
        <f t="shared" ref="G98:G126" si="11">LN(D98/D99)</f>
        <v>-1.0188492759331466E-2</v>
      </c>
    </row>
    <row r="99" spans="1:7" x14ac:dyDescent="0.25">
      <c r="A99" s="1">
        <v>45565</v>
      </c>
      <c r="B99">
        <v>35.869999999999997</v>
      </c>
      <c r="C99">
        <v>221.08</v>
      </c>
      <c r="D99">
        <v>248.6</v>
      </c>
      <c r="E99" s="3">
        <f t="shared" si="9"/>
        <v>1.290702542037892E-2</v>
      </c>
      <c r="F99" s="3">
        <f t="shared" si="10"/>
        <v>1.0861695492184362E-3</v>
      </c>
      <c r="G99" s="3">
        <f t="shared" si="11"/>
        <v>-1.7702399920782697E-2</v>
      </c>
    </row>
    <row r="100" spans="1:7" x14ac:dyDescent="0.25">
      <c r="A100" s="1">
        <v>45562</v>
      </c>
      <c r="B100">
        <v>35.409999999999997</v>
      </c>
      <c r="C100">
        <v>220.84</v>
      </c>
      <c r="D100">
        <v>253.04</v>
      </c>
      <c r="E100" s="3">
        <f t="shared" si="9"/>
        <v>-3.986135251153336E-2</v>
      </c>
      <c r="F100" s="3">
        <f t="shared" si="10"/>
        <v>-1.165970847555116E-2</v>
      </c>
      <c r="G100" s="3">
        <f t="shared" si="11"/>
        <v>9.250686315938908E-3</v>
      </c>
    </row>
    <row r="101" spans="1:7" x14ac:dyDescent="0.25">
      <c r="A101" s="1">
        <v>45561</v>
      </c>
      <c r="B101">
        <v>36.85</v>
      </c>
      <c r="C101">
        <v>223.43</v>
      </c>
      <c r="D101">
        <v>250.71</v>
      </c>
      <c r="E101" s="3">
        <f t="shared" si="9"/>
        <v>2.1948754904387736E-2</v>
      </c>
      <c r="F101" s="3">
        <f t="shared" si="10"/>
        <v>9.8952815694997361E-3</v>
      </c>
      <c r="G101" s="3">
        <f t="shared" si="11"/>
        <v>2.0999945446879147E-2</v>
      </c>
    </row>
    <row r="102" spans="1:7" x14ac:dyDescent="0.25">
      <c r="A102" s="1">
        <v>45560</v>
      </c>
      <c r="B102">
        <v>36.049999999999997</v>
      </c>
      <c r="C102">
        <v>221.23</v>
      </c>
      <c r="D102">
        <v>245.5</v>
      </c>
      <c r="E102" s="3">
        <f t="shared" si="9"/>
        <v>5.8422756242281397E-3</v>
      </c>
      <c r="F102" s="3">
        <f t="shared" si="10"/>
        <v>1.1759386248817393E-3</v>
      </c>
      <c r="G102" s="3">
        <f t="shared" si="11"/>
        <v>-7.6286687122883671E-3</v>
      </c>
    </row>
    <row r="103" spans="1:7" x14ac:dyDescent="0.25">
      <c r="A103" s="1">
        <v>45559</v>
      </c>
      <c r="B103">
        <v>35.840000000000003</v>
      </c>
      <c r="C103">
        <v>220.97</v>
      </c>
      <c r="D103">
        <v>247.38</v>
      </c>
      <c r="E103" s="3">
        <f t="shared" si="9"/>
        <v>2.057859792638897E-2</v>
      </c>
      <c r="F103" s="3">
        <f t="shared" si="10"/>
        <v>2.1292508101129078E-3</v>
      </c>
      <c r="G103" s="3">
        <f t="shared" si="11"/>
        <v>2.3352456751974334E-2</v>
      </c>
    </row>
    <row r="104" spans="1:7" x14ac:dyDescent="0.25">
      <c r="A104" s="1">
        <v>45558</v>
      </c>
      <c r="B104">
        <v>35.11</v>
      </c>
      <c r="C104">
        <v>220.5</v>
      </c>
      <c r="D104">
        <v>241.67</v>
      </c>
      <c r="E104" s="3">
        <f t="shared" si="9"/>
        <v>1.0018689783149719E-2</v>
      </c>
      <c r="F104" s="3">
        <f t="shared" si="10"/>
        <v>1.2779726646399021E-2</v>
      </c>
      <c r="G104" s="3">
        <f t="shared" si="11"/>
        <v>-1.1192150735168604E-2</v>
      </c>
    </row>
    <row r="105" spans="1:7" x14ac:dyDescent="0.25">
      <c r="A105" s="1">
        <v>45555</v>
      </c>
      <c r="B105">
        <v>34.76</v>
      </c>
      <c r="C105">
        <v>217.7</v>
      </c>
      <c r="D105">
        <v>244.39</v>
      </c>
      <c r="E105" s="3">
        <f t="shared" si="9"/>
        <v>-1.7246339428517673E-3</v>
      </c>
      <c r="F105" s="3">
        <f t="shared" si="10"/>
        <v>1.7656104063134788E-2</v>
      </c>
      <c r="G105" s="3">
        <f t="shared" si="11"/>
        <v>-2.8638641905879463E-4</v>
      </c>
    </row>
    <row r="106" spans="1:7" x14ac:dyDescent="0.25">
      <c r="A106" s="1">
        <v>45554</v>
      </c>
      <c r="B106">
        <v>34.82</v>
      </c>
      <c r="C106">
        <v>213.89</v>
      </c>
      <c r="D106">
        <v>244.46</v>
      </c>
      <c r="E106" s="3">
        <f t="shared" si="9"/>
        <v>8.363422938141931E-3</v>
      </c>
      <c r="F106" s="3">
        <f t="shared" si="10"/>
        <v>-4.8970552356402278E-3</v>
      </c>
      <c r="G106" s="3">
        <f t="shared" si="11"/>
        <v>2.3676602682224417E-2</v>
      </c>
    </row>
    <row r="107" spans="1:7" x14ac:dyDescent="0.25">
      <c r="A107" s="1">
        <v>45553</v>
      </c>
      <c r="B107">
        <v>34.53</v>
      </c>
      <c r="C107">
        <v>214.94</v>
      </c>
      <c r="D107">
        <v>238.74</v>
      </c>
      <c r="E107" s="3">
        <f t="shared" si="9"/>
        <v>2.9002340514685315E-3</v>
      </c>
      <c r="F107" s="3">
        <f t="shared" si="10"/>
        <v>3.7756121948818908E-3</v>
      </c>
      <c r="G107" s="3">
        <f t="shared" si="11"/>
        <v>1.3197197968484769E-2</v>
      </c>
    </row>
    <row r="108" spans="1:7" x14ac:dyDescent="0.25">
      <c r="A108" s="1">
        <v>45552</v>
      </c>
      <c r="B108">
        <v>34.43</v>
      </c>
      <c r="C108">
        <v>214.13</v>
      </c>
      <c r="D108">
        <v>235.61</v>
      </c>
      <c r="E108" s="3">
        <f t="shared" si="9"/>
        <v>1.9651607622676141E-2</v>
      </c>
      <c r="F108" s="3">
        <f t="shared" si="10"/>
        <v>-1.4051101819124964E-2</v>
      </c>
      <c r="G108" s="3">
        <f t="shared" si="11"/>
        <v>1.3459728482845636E-2</v>
      </c>
    </row>
    <row r="109" spans="1:7" x14ac:dyDescent="0.25">
      <c r="A109" s="1">
        <v>45551</v>
      </c>
      <c r="B109">
        <v>33.76</v>
      </c>
      <c r="C109">
        <v>217.16</v>
      </c>
      <c r="D109">
        <v>232.46</v>
      </c>
      <c r="E109" s="3">
        <f t="shared" si="9"/>
        <v>1.3118852429114284E-2</v>
      </c>
      <c r="F109" s="3">
        <f t="shared" si="10"/>
        <v>1.0973602421078489E-2</v>
      </c>
      <c r="G109" s="3">
        <f t="shared" si="11"/>
        <v>3.1021136466456343E-3</v>
      </c>
    </row>
    <row r="110" spans="1:7" x14ac:dyDescent="0.25">
      <c r="A110" s="1">
        <v>45548</v>
      </c>
      <c r="B110">
        <v>33.32</v>
      </c>
      <c r="C110">
        <v>214.79</v>
      </c>
      <c r="D110">
        <v>231.74</v>
      </c>
      <c r="E110" s="3">
        <f t="shared" si="9"/>
        <v>6.6245349156247354E-3</v>
      </c>
      <c r="F110" s="3">
        <f t="shared" si="10"/>
        <v>1.4915848769491733E-2</v>
      </c>
      <c r="G110" s="3">
        <f t="shared" si="11"/>
        <v>4.4978883892084114E-3</v>
      </c>
    </row>
    <row r="111" spans="1:7" x14ac:dyDescent="0.25">
      <c r="A111" s="1">
        <v>45547</v>
      </c>
      <c r="B111">
        <v>33.1</v>
      </c>
      <c r="C111">
        <v>211.61</v>
      </c>
      <c r="D111">
        <v>230.7</v>
      </c>
      <c r="E111" s="3">
        <f t="shared" si="9"/>
        <v>-8.1240103802652699E-3</v>
      </c>
      <c r="F111" s="3">
        <f t="shared" si="10"/>
        <v>8.1613738891554762E-3</v>
      </c>
      <c r="G111" s="3">
        <f t="shared" si="11"/>
        <v>1.4715458868452961E-2</v>
      </c>
    </row>
    <row r="112" spans="1:7" x14ac:dyDescent="0.25">
      <c r="A112" s="1">
        <v>45546</v>
      </c>
      <c r="B112">
        <v>33.369999999999997</v>
      </c>
      <c r="C112">
        <v>209.89</v>
      </c>
      <c r="D112">
        <v>227.33</v>
      </c>
      <c r="E112" s="3">
        <f t="shared" si="9"/>
        <v>-2.9922224599525996E-3</v>
      </c>
      <c r="F112" s="3">
        <f t="shared" si="10"/>
        <v>2.2013846265422347E-2</v>
      </c>
      <c r="G112" s="3">
        <f t="shared" si="11"/>
        <v>7.3289511274360316E-3</v>
      </c>
    </row>
    <row r="113" spans="1:7" x14ac:dyDescent="0.25">
      <c r="A113" s="1">
        <v>45545</v>
      </c>
      <c r="B113">
        <v>33.47</v>
      </c>
      <c r="C113">
        <v>205.32</v>
      </c>
      <c r="D113">
        <v>225.67</v>
      </c>
      <c r="E113" s="3">
        <f t="shared" si="9"/>
        <v>-2.0991162464209588E-2</v>
      </c>
      <c r="F113" s="3">
        <f t="shared" si="10"/>
        <v>8.7563235273147525E-3</v>
      </c>
      <c r="G113" s="3">
        <f t="shared" si="11"/>
        <v>-1.2856250688137956E-2</v>
      </c>
    </row>
    <row r="114" spans="1:7" x14ac:dyDescent="0.25">
      <c r="A114" s="1">
        <v>45544</v>
      </c>
      <c r="B114">
        <v>34.18</v>
      </c>
      <c r="C114">
        <v>203.53</v>
      </c>
      <c r="D114">
        <v>228.59</v>
      </c>
      <c r="E114" s="3">
        <f t="shared" si="9"/>
        <v>1.0588334217010513E-2</v>
      </c>
      <c r="F114" s="3">
        <f t="shared" si="10"/>
        <v>1.3802875779133524E-2</v>
      </c>
      <c r="G114" s="3">
        <f t="shared" si="11"/>
        <v>4.3403036197810635E-3</v>
      </c>
    </row>
    <row r="115" spans="1:7" x14ac:dyDescent="0.25">
      <c r="A115" s="1">
        <v>45541</v>
      </c>
      <c r="B115">
        <v>33.82</v>
      </c>
      <c r="C115">
        <v>200.74</v>
      </c>
      <c r="D115">
        <v>227.6</v>
      </c>
      <c r="E115" s="3">
        <f t="shared" si="9"/>
        <v>-1.7004220908918392E-2</v>
      </c>
      <c r="F115" s="3">
        <f t="shared" si="10"/>
        <v>-9.1736938692060181E-3</v>
      </c>
      <c r="G115" s="3">
        <f t="shared" si="11"/>
        <v>-6.3942757173943406E-3</v>
      </c>
    </row>
    <row r="116" spans="1:7" x14ac:dyDescent="0.25">
      <c r="A116" s="1">
        <v>45540</v>
      </c>
      <c r="B116">
        <v>34.4</v>
      </c>
      <c r="C116">
        <v>202.59</v>
      </c>
      <c r="D116">
        <v>229.06</v>
      </c>
      <c r="E116" s="3">
        <f t="shared" si="9"/>
        <v>-2.6675896991701167E-2</v>
      </c>
      <c r="F116" s="3">
        <f t="shared" si="10"/>
        <v>-7.4748319510910734E-3</v>
      </c>
      <c r="G116" s="3">
        <f t="shared" si="11"/>
        <v>-1.744744401426762E-3</v>
      </c>
    </row>
    <row r="117" spans="1:7" x14ac:dyDescent="0.25">
      <c r="A117" s="1">
        <v>45539</v>
      </c>
      <c r="B117">
        <v>35.33</v>
      </c>
      <c r="C117">
        <v>204.11</v>
      </c>
      <c r="D117">
        <v>229.46</v>
      </c>
      <c r="E117" s="3">
        <f t="shared" si="9"/>
        <v>-1.4142273605854687E-3</v>
      </c>
      <c r="F117" s="3">
        <f t="shared" si="10"/>
        <v>1.3962090693875684E-2</v>
      </c>
      <c r="G117" s="3">
        <f t="shared" si="11"/>
        <v>-5.4761317255872929E-3</v>
      </c>
    </row>
    <row r="118" spans="1:7" x14ac:dyDescent="0.25">
      <c r="A118" s="1">
        <v>45538</v>
      </c>
      <c r="B118">
        <v>35.380000000000003</v>
      </c>
      <c r="C118">
        <v>201.28</v>
      </c>
      <c r="D118">
        <v>230.72</v>
      </c>
      <c r="E118" s="3">
        <f t="shared" si="9"/>
        <v>-2.2359791235509754E-2</v>
      </c>
      <c r="F118" s="3">
        <f t="shared" si="10"/>
        <v>-4.2140812468307665E-3</v>
      </c>
      <c r="G118" s="3">
        <f t="shared" si="11"/>
        <v>-1.7060640268514699E-2</v>
      </c>
    </row>
    <row r="119" spans="1:7" x14ac:dyDescent="0.25">
      <c r="A119" s="1">
        <v>45534</v>
      </c>
      <c r="B119">
        <v>36.18</v>
      </c>
      <c r="C119">
        <v>202.13</v>
      </c>
      <c r="D119">
        <v>234.69</v>
      </c>
      <c r="E119" s="3">
        <f t="shared" si="9"/>
        <v>2.0101179321087303E-2</v>
      </c>
      <c r="F119" s="3">
        <f t="shared" si="10"/>
        <v>1.6108868898979972E-2</v>
      </c>
      <c r="G119" s="3">
        <f t="shared" si="11"/>
        <v>1.4247333645508106E-2</v>
      </c>
    </row>
    <row r="120" spans="1:7" x14ac:dyDescent="0.25">
      <c r="A120" s="1">
        <v>45533</v>
      </c>
      <c r="B120">
        <v>35.46</v>
      </c>
      <c r="C120">
        <v>198.9</v>
      </c>
      <c r="D120">
        <v>231.37</v>
      </c>
      <c r="E120" s="3">
        <f t="shared" si="9"/>
        <v>1.9938000248870588E-2</v>
      </c>
      <c r="F120" s="3">
        <f t="shared" si="10"/>
        <v>2.2146173738311487E-3</v>
      </c>
      <c r="G120" s="3">
        <f t="shared" si="11"/>
        <v>1.7659444290670106E-2</v>
      </c>
    </row>
    <row r="121" spans="1:7" x14ac:dyDescent="0.25">
      <c r="A121" s="1">
        <v>45532</v>
      </c>
      <c r="B121">
        <v>34.76</v>
      </c>
      <c r="C121">
        <v>198.46</v>
      </c>
      <c r="D121">
        <v>227.32</v>
      </c>
      <c r="E121" s="3">
        <f t="shared" si="9"/>
        <v>-2.387833746079359E-2</v>
      </c>
      <c r="F121" s="3">
        <f t="shared" si="10"/>
        <v>-1.359551054097583E-3</v>
      </c>
      <c r="G121" s="3">
        <f t="shared" si="11"/>
        <v>-1.3188554248230082E-3</v>
      </c>
    </row>
    <row r="122" spans="1:7" x14ac:dyDescent="0.25">
      <c r="A122" s="1">
        <v>45531</v>
      </c>
      <c r="B122">
        <v>35.6</v>
      </c>
      <c r="C122">
        <v>198.73</v>
      </c>
      <c r="D122">
        <v>227.62</v>
      </c>
      <c r="E122" s="3">
        <f t="shared" si="9"/>
        <v>8.4305189762100144E-4</v>
      </c>
      <c r="F122" s="3">
        <f t="shared" si="10"/>
        <v>3.7811040485318109E-3</v>
      </c>
      <c r="G122" s="3">
        <f t="shared" si="11"/>
        <v>1.3044912924358455E-2</v>
      </c>
    </row>
    <row r="123" spans="1:7" x14ac:dyDescent="0.25">
      <c r="A123" s="1">
        <v>45530</v>
      </c>
      <c r="B123">
        <v>35.57</v>
      </c>
      <c r="C123">
        <v>197.98</v>
      </c>
      <c r="D123">
        <v>224.67</v>
      </c>
      <c r="E123" s="3">
        <f t="shared" si="9"/>
        <v>-2.5270264746303983E-3</v>
      </c>
      <c r="F123" s="3">
        <f t="shared" si="10"/>
        <v>9.5412822893607106E-3</v>
      </c>
      <c r="G123" s="3">
        <f t="shared" si="11"/>
        <v>-2.6226316901650404E-3</v>
      </c>
    </row>
    <row r="124" spans="1:7" x14ac:dyDescent="0.25">
      <c r="A124" s="1">
        <v>45527</v>
      </c>
      <c r="B124">
        <v>35.659999999999997</v>
      </c>
      <c r="C124">
        <v>196.1</v>
      </c>
      <c r="D124">
        <v>225.26</v>
      </c>
      <c r="E124" s="3">
        <f t="shared" si="9"/>
        <v>1.6398444931012071E-2</v>
      </c>
      <c r="F124" s="3">
        <f t="shared" si="10"/>
        <v>7.1417643192657454E-4</v>
      </c>
      <c r="G124" s="3">
        <f t="shared" si="11"/>
        <v>5.0736679224667007E-3</v>
      </c>
    </row>
    <row r="125" spans="1:7" x14ac:dyDescent="0.25">
      <c r="A125" s="1">
        <v>45526</v>
      </c>
      <c r="B125">
        <v>35.08</v>
      </c>
      <c r="C125">
        <v>195.96</v>
      </c>
      <c r="D125">
        <v>224.12</v>
      </c>
      <c r="E125" s="3">
        <f t="shared" si="9"/>
        <v>-5.4015767439785185E-3</v>
      </c>
      <c r="F125" s="3">
        <f t="shared" si="10"/>
        <v>-6.3585940516035638E-3</v>
      </c>
      <c r="G125" s="3">
        <f t="shared" si="11"/>
        <v>-1.7386269230401338E-3</v>
      </c>
    </row>
    <row r="126" spans="1:7" x14ac:dyDescent="0.25">
      <c r="A126" s="1">
        <v>45525</v>
      </c>
      <c r="B126">
        <v>35.270000000000003</v>
      </c>
      <c r="C126">
        <v>197.21</v>
      </c>
      <c r="D126">
        <v>224.51</v>
      </c>
      <c r="E126" s="3">
        <f t="shared" si="9"/>
        <v>1.3128042424613009E-2</v>
      </c>
      <c r="F126" s="3">
        <f t="shared" si="10"/>
        <v>6.0014420796446113E-3</v>
      </c>
      <c r="G126" s="3">
        <f t="shared" si="11"/>
        <v>6.1656883737120811E-3</v>
      </c>
    </row>
    <row r="127" spans="1:7" x14ac:dyDescent="0.25">
      <c r="A127" s="1">
        <v>45524</v>
      </c>
      <c r="B127">
        <v>34.81</v>
      </c>
      <c r="C127">
        <v>196.03</v>
      </c>
      <c r="D127">
        <v>223.13</v>
      </c>
      <c r="E127" s="3"/>
      <c r="F127" s="3"/>
      <c r="G127" s="3"/>
    </row>
    <row r="128" spans="1:7" x14ac:dyDescent="0.25">
      <c r="A128" s="1"/>
      <c r="D128" s="2"/>
      <c r="E128" s="3"/>
      <c r="F128" s="3"/>
      <c r="G128" s="3"/>
    </row>
    <row r="129" spans="1:7" x14ac:dyDescent="0.25">
      <c r="A129" s="1"/>
      <c r="D129" s="2"/>
      <c r="E129" s="3"/>
      <c r="F129" s="3"/>
      <c r="G129" s="3"/>
    </row>
    <row r="130" spans="1:7" x14ac:dyDescent="0.25">
      <c r="A130" s="1"/>
      <c r="D130" s="2"/>
      <c r="E130" s="3"/>
      <c r="F130" s="3"/>
      <c r="G130" s="3"/>
    </row>
    <row r="131" spans="1:7" x14ac:dyDescent="0.25">
      <c r="D131" s="2"/>
      <c r="E131" s="3"/>
      <c r="F131" s="3"/>
      <c r="G131" s="3"/>
    </row>
    <row r="132" spans="1:7" x14ac:dyDescent="0.25">
      <c r="D132" s="2"/>
      <c r="E132" s="3"/>
      <c r="F132" s="3"/>
      <c r="G132" s="3"/>
    </row>
    <row r="133" spans="1:7" x14ac:dyDescent="0.25">
      <c r="D133" s="2"/>
      <c r="E133" s="3"/>
      <c r="F133" s="3"/>
      <c r="G133" s="3"/>
    </row>
    <row r="134" spans="1:7" x14ac:dyDescent="0.25">
      <c r="D134" s="2"/>
      <c r="E134" s="3"/>
      <c r="F134" s="3"/>
      <c r="G134" s="3"/>
    </row>
    <row r="135" spans="1:7" x14ac:dyDescent="0.25">
      <c r="D135" s="2"/>
      <c r="E135" s="3"/>
      <c r="F135" s="3"/>
      <c r="G135" s="3"/>
    </row>
    <row r="136" spans="1:7" x14ac:dyDescent="0.25">
      <c r="D136" s="2"/>
      <c r="E136" s="3"/>
      <c r="F136" s="3"/>
      <c r="G136" s="3"/>
    </row>
    <row r="137" spans="1:7" x14ac:dyDescent="0.25">
      <c r="D137" s="2"/>
      <c r="E137" s="3"/>
      <c r="F137" s="3"/>
      <c r="G137" s="3"/>
    </row>
    <row r="138" spans="1:7" x14ac:dyDescent="0.25">
      <c r="D138" s="2"/>
      <c r="E138" s="3"/>
      <c r="F138" s="3"/>
      <c r="G138" s="3"/>
    </row>
    <row r="139" spans="1:7" x14ac:dyDescent="0.25">
      <c r="D139" s="2"/>
      <c r="E139" s="3"/>
      <c r="F139" s="3"/>
      <c r="G139" s="3"/>
    </row>
    <row r="140" spans="1:7" x14ac:dyDescent="0.25">
      <c r="D140" s="2"/>
      <c r="E140" s="3"/>
      <c r="F140" s="3"/>
      <c r="G140" s="3"/>
    </row>
    <row r="141" spans="1:7" x14ac:dyDescent="0.25">
      <c r="D141" s="2"/>
      <c r="E141" s="3"/>
      <c r="F141" s="3"/>
      <c r="G141" s="3"/>
    </row>
    <row r="142" spans="1:7" x14ac:dyDescent="0.25">
      <c r="D142" s="2"/>
      <c r="E142" s="3"/>
      <c r="F142" s="3"/>
      <c r="G142" s="3"/>
    </row>
    <row r="143" spans="1:7" x14ac:dyDescent="0.25">
      <c r="A143" s="1"/>
      <c r="D143" s="2"/>
      <c r="E143" s="3"/>
      <c r="F143" s="3"/>
      <c r="G143" s="3"/>
    </row>
    <row r="144" spans="1:7" x14ac:dyDescent="0.25">
      <c r="A144" s="1"/>
      <c r="D144" s="2"/>
      <c r="E144" s="3"/>
      <c r="F144" s="3"/>
      <c r="G144" s="3"/>
    </row>
    <row r="145" spans="1:7" x14ac:dyDescent="0.25">
      <c r="A145" s="1"/>
      <c r="D145" s="2"/>
      <c r="E145" s="3"/>
      <c r="F145" s="3"/>
      <c r="G145" s="3"/>
    </row>
    <row r="146" spans="1:7" x14ac:dyDescent="0.25">
      <c r="A146" s="1"/>
      <c r="D146" s="2"/>
      <c r="E146" s="3"/>
      <c r="F146" s="3"/>
      <c r="G146" s="3"/>
    </row>
    <row r="147" spans="1:7" x14ac:dyDescent="0.25">
      <c r="A147" s="1"/>
      <c r="D147" s="2"/>
      <c r="E147" s="3"/>
      <c r="F147" s="3"/>
      <c r="G147" s="3"/>
    </row>
    <row r="148" spans="1:7" x14ac:dyDescent="0.25">
      <c r="A148" s="1"/>
      <c r="D148" s="2"/>
      <c r="E148" s="3"/>
      <c r="F148" s="3"/>
      <c r="G148" s="3"/>
    </row>
    <row r="149" spans="1:7" x14ac:dyDescent="0.25">
      <c r="A149" s="1"/>
      <c r="D149" s="2"/>
      <c r="E149" s="3"/>
      <c r="F149" s="3"/>
      <c r="G149" s="3"/>
    </row>
    <row r="150" spans="1:7" x14ac:dyDescent="0.25">
      <c r="A150" s="1"/>
      <c r="D150" s="2"/>
      <c r="E150" s="3"/>
      <c r="F150" s="3"/>
      <c r="G150" s="3"/>
    </row>
    <row r="151" spans="1:7" x14ac:dyDescent="0.25">
      <c r="A151" s="1"/>
      <c r="D151" s="2"/>
      <c r="E151" s="3"/>
      <c r="F151" s="3"/>
      <c r="G151" s="3"/>
    </row>
    <row r="152" spans="1:7" x14ac:dyDescent="0.25">
      <c r="D152" s="2"/>
      <c r="E152" s="3"/>
      <c r="F152" s="3"/>
      <c r="G152" s="3"/>
    </row>
    <row r="153" spans="1:7" x14ac:dyDescent="0.25">
      <c r="D153" s="2"/>
      <c r="E153" s="3"/>
      <c r="F153" s="3"/>
      <c r="G153" s="3"/>
    </row>
    <row r="154" spans="1:7" x14ac:dyDescent="0.25">
      <c r="D154" s="2"/>
      <c r="E154" s="3"/>
      <c r="F154" s="3"/>
      <c r="G154" s="3"/>
    </row>
    <row r="155" spans="1:7" x14ac:dyDescent="0.25">
      <c r="D155" s="2"/>
      <c r="E155" s="3"/>
      <c r="F155" s="3"/>
      <c r="G155" s="3"/>
    </row>
    <row r="156" spans="1:7" x14ac:dyDescent="0.25">
      <c r="D156" s="2"/>
      <c r="E156" s="3"/>
      <c r="F156" s="3"/>
      <c r="G156" s="3"/>
    </row>
    <row r="157" spans="1:7" x14ac:dyDescent="0.25">
      <c r="D157" s="2"/>
      <c r="E157" s="3"/>
      <c r="F157" s="3"/>
      <c r="G157" s="3"/>
    </row>
    <row r="158" spans="1:7" x14ac:dyDescent="0.25">
      <c r="D158" s="2"/>
      <c r="E158" s="3"/>
      <c r="F158" s="3"/>
      <c r="G158" s="3"/>
    </row>
    <row r="159" spans="1:7" x14ac:dyDescent="0.25">
      <c r="D159" s="2"/>
      <c r="E159" s="3"/>
      <c r="F159" s="3"/>
      <c r="G159" s="3"/>
    </row>
    <row r="160" spans="1:7" x14ac:dyDescent="0.25">
      <c r="D160" s="2"/>
      <c r="E160" s="3"/>
      <c r="F160" s="3"/>
      <c r="G160" s="3"/>
    </row>
    <row r="161" spans="1:7" x14ac:dyDescent="0.25">
      <c r="D161" s="2"/>
      <c r="E161" s="3"/>
      <c r="F161" s="3"/>
      <c r="G161" s="3"/>
    </row>
    <row r="162" spans="1:7" x14ac:dyDescent="0.25">
      <c r="D162" s="2"/>
      <c r="E162" s="3"/>
      <c r="F162" s="3"/>
      <c r="G162" s="3"/>
    </row>
    <row r="163" spans="1:7" x14ac:dyDescent="0.25">
      <c r="D163" s="2"/>
      <c r="E163" s="3"/>
      <c r="F163" s="3"/>
      <c r="G163" s="3"/>
    </row>
    <row r="164" spans="1:7" x14ac:dyDescent="0.25">
      <c r="A164" s="1"/>
      <c r="D164" s="2"/>
      <c r="E164" s="3"/>
      <c r="F164" s="3"/>
      <c r="G164" s="3"/>
    </row>
    <row r="165" spans="1:7" x14ac:dyDescent="0.25">
      <c r="A165" s="1"/>
      <c r="D165" s="2"/>
      <c r="E165" s="3"/>
      <c r="F165" s="3"/>
      <c r="G165" s="3"/>
    </row>
    <row r="166" spans="1:7" x14ac:dyDescent="0.25">
      <c r="A166" s="1"/>
      <c r="D166" s="2"/>
      <c r="E166" s="3"/>
      <c r="F166" s="3"/>
      <c r="G166" s="3"/>
    </row>
    <row r="167" spans="1:7" x14ac:dyDescent="0.25">
      <c r="A167" s="1"/>
      <c r="D167" s="2"/>
      <c r="E167" s="3"/>
      <c r="F167" s="3"/>
      <c r="G167" s="3"/>
    </row>
    <row r="168" spans="1:7" x14ac:dyDescent="0.25">
      <c r="A168" s="1"/>
      <c r="D168" s="2"/>
      <c r="E168" s="3"/>
      <c r="F168" s="3"/>
      <c r="G168" s="3"/>
    </row>
    <row r="169" spans="1:7" x14ac:dyDescent="0.25">
      <c r="A169" s="1"/>
      <c r="D169" s="2"/>
      <c r="E169" s="3"/>
      <c r="F169" s="3"/>
      <c r="G169" s="3"/>
    </row>
    <row r="170" spans="1:7" x14ac:dyDescent="0.25">
      <c r="A170" s="1"/>
      <c r="D170" s="2"/>
      <c r="E170" s="3"/>
      <c r="F170" s="3"/>
      <c r="G170" s="3"/>
    </row>
    <row r="171" spans="1:7" x14ac:dyDescent="0.25">
      <c r="A171" s="1"/>
      <c r="D171" s="2"/>
      <c r="E171" s="3"/>
      <c r="F171" s="3"/>
      <c r="G171" s="3"/>
    </row>
    <row r="172" spans="1:7" x14ac:dyDescent="0.25">
      <c r="D172" s="2"/>
      <c r="E172" s="3"/>
      <c r="F172" s="3"/>
      <c r="G172" s="3"/>
    </row>
    <row r="173" spans="1:7" x14ac:dyDescent="0.25">
      <c r="D173" s="2"/>
      <c r="E173" s="3"/>
      <c r="F173" s="3"/>
      <c r="G173" s="3"/>
    </row>
    <row r="174" spans="1:7" x14ac:dyDescent="0.25">
      <c r="D174" s="2"/>
      <c r="E174" s="3"/>
      <c r="F174" s="3"/>
      <c r="G174" s="3"/>
    </row>
    <row r="175" spans="1:7" x14ac:dyDescent="0.25">
      <c r="D175" s="2"/>
      <c r="E175" s="3"/>
      <c r="F175" s="3"/>
      <c r="G175" s="3"/>
    </row>
    <row r="176" spans="1:7" x14ac:dyDescent="0.25">
      <c r="D176" s="2"/>
      <c r="E176" s="3"/>
      <c r="F176" s="3"/>
      <c r="G176" s="3"/>
    </row>
    <row r="177" spans="1:7" x14ac:dyDescent="0.25">
      <c r="D177" s="2"/>
      <c r="E177" s="3"/>
      <c r="F177" s="3"/>
      <c r="G177" s="3"/>
    </row>
    <row r="178" spans="1:7" x14ac:dyDescent="0.25">
      <c r="D178" s="2"/>
      <c r="E178" s="3"/>
      <c r="F178" s="3"/>
      <c r="G178" s="3"/>
    </row>
    <row r="179" spans="1:7" x14ac:dyDescent="0.25">
      <c r="D179" s="2"/>
      <c r="E179" s="3"/>
      <c r="F179" s="3"/>
      <c r="G179" s="3"/>
    </row>
    <row r="180" spans="1:7" x14ac:dyDescent="0.25">
      <c r="D180" s="2"/>
      <c r="E180" s="3"/>
      <c r="F180" s="3"/>
      <c r="G180" s="3"/>
    </row>
    <row r="181" spans="1:7" x14ac:dyDescent="0.25">
      <c r="D181" s="2"/>
      <c r="E181" s="3"/>
      <c r="F181" s="3"/>
      <c r="G181" s="3"/>
    </row>
    <row r="182" spans="1:7" x14ac:dyDescent="0.25">
      <c r="D182" s="2"/>
      <c r="E182" s="3"/>
      <c r="F182" s="3"/>
      <c r="G182" s="3"/>
    </row>
    <row r="183" spans="1:7" x14ac:dyDescent="0.25">
      <c r="D183" s="2"/>
      <c r="E183" s="3"/>
      <c r="F183" s="3"/>
      <c r="G183" s="3"/>
    </row>
    <row r="184" spans="1:7" x14ac:dyDescent="0.25">
      <c r="D184" s="2"/>
      <c r="E184" s="3"/>
      <c r="F184" s="3"/>
      <c r="G184" s="3"/>
    </row>
    <row r="185" spans="1:7" x14ac:dyDescent="0.25">
      <c r="A185" s="1"/>
      <c r="D185" s="2"/>
      <c r="E185" s="3"/>
      <c r="F185" s="3"/>
      <c r="G185" s="3"/>
    </row>
    <row r="186" spans="1:7" x14ac:dyDescent="0.25">
      <c r="A186" s="1"/>
      <c r="D186" s="2"/>
      <c r="E186" s="3"/>
      <c r="F186" s="3"/>
      <c r="G186" s="3"/>
    </row>
    <row r="187" spans="1:7" x14ac:dyDescent="0.25">
      <c r="A187" s="1"/>
      <c r="D187" s="2"/>
      <c r="E187" s="3"/>
      <c r="F187" s="3"/>
      <c r="G187" s="3"/>
    </row>
    <row r="188" spans="1:7" x14ac:dyDescent="0.25">
      <c r="A188" s="1"/>
      <c r="D188" s="2"/>
      <c r="E188" s="3"/>
      <c r="F188" s="3"/>
      <c r="G188" s="3"/>
    </row>
    <row r="189" spans="1:7" x14ac:dyDescent="0.25">
      <c r="A189" s="1"/>
      <c r="D189" s="2"/>
      <c r="E189" s="3"/>
      <c r="F189" s="3"/>
      <c r="G189" s="3"/>
    </row>
    <row r="190" spans="1:7" x14ac:dyDescent="0.25">
      <c r="A190" s="1"/>
      <c r="D190" s="2"/>
      <c r="E190" s="3"/>
      <c r="F190" s="3"/>
      <c r="G190" s="3"/>
    </row>
    <row r="191" spans="1:7" x14ac:dyDescent="0.25">
      <c r="A191" s="1"/>
      <c r="D191" s="2"/>
      <c r="E191" s="3"/>
      <c r="F191" s="3"/>
      <c r="G191" s="3"/>
    </row>
    <row r="192" spans="1:7" x14ac:dyDescent="0.25">
      <c r="A192" s="1"/>
      <c r="D192" s="2"/>
      <c r="E192" s="3"/>
      <c r="F192" s="3"/>
      <c r="G192" s="3"/>
    </row>
    <row r="193" spans="1:7" x14ac:dyDescent="0.25">
      <c r="D193" s="2"/>
      <c r="E193" s="3"/>
      <c r="F193" s="3"/>
      <c r="G193" s="3"/>
    </row>
    <row r="194" spans="1:7" x14ac:dyDescent="0.25">
      <c r="D194" s="2"/>
      <c r="E194" s="3"/>
      <c r="F194" s="3"/>
      <c r="G194" s="3"/>
    </row>
    <row r="195" spans="1:7" x14ac:dyDescent="0.25">
      <c r="D195" s="2"/>
      <c r="E195" s="3"/>
      <c r="F195" s="3"/>
      <c r="G195" s="3"/>
    </row>
    <row r="196" spans="1:7" x14ac:dyDescent="0.25">
      <c r="D196" s="2"/>
      <c r="E196" s="3"/>
      <c r="F196" s="3"/>
      <c r="G196" s="3"/>
    </row>
    <row r="197" spans="1:7" x14ac:dyDescent="0.25">
      <c r="D197" s="2"/>
      <c r="E197" s="3"/>
      <c r="F197" s="3"/>
      <c r="G197" s="3"/>
    </row>
    <row r="198" spans="1:7" x14ac:dyDescent="0.25">
      <c r="D198" s="2"/>
      <c r="E198" s="3"/>
      <c r="F198" s="3"/>
      <c r="G198" s="3"/>
    </row>
    <row r="199" spans="1:7" x14ac:dyDescent="0.25">
      <c r="D199" s="2"/>
      <c r="E199" s="3"/>
      <c r="F199" s="3"/>
      <c r="G199" s="3"/>
    </row>
    <row r="200" spans="1:7" x14ac:dyDescent="0.25">
      <c r="D200" s="2"/>
      <c r="E200" s="3"/>
      <c r="F200" s="3"/>
      <c r="G200" s="3"/>
    </row>
    <row r="201" spans="1:7" x14ac:dyDescent="0.25">
      <c r="D201" s="2"/>
      <c r="E201" s="3"/>
      <c r="F201" s="3"/>
      <c r="G201" s="3"/>
    </row>
    <row r="202" spans="1:7" x14ac:dyDescent="0.25">
      <c r="D202" s="2"/>
      <c r="E202" s="3"/>
      <c r="F202" s="3"/>
      <c r="G202" s="3"/>
    </row>
    <row r="203" spans="1:7" x14ac:dyDescent="0.25">
      <c r="D203" s="2"/>
      <c r="E203" s="3"/>
      <c r="F203" s="3"/>
      <c r="G203" s="3"/>
    </row>
    <row r="204" spans="1:7" x14ac:dyDescent="0.25">
      <c r="D204" s="2"/>
      <c r="E204" s="3"/>
      <c r="F204" s="3"/>
      <c r="G204" s="3"/>
    </row>
    <row r="205" spans="1:7" x14ac:dyDescent="0.25">
      <c r="D205" s="2"/>
      <c r="E205" s="3"/>
      <c r="F205" s="3"/>
      <c r="G205" s="3"/>
    </row>
    <row r="206" spans="1:7" x14ac:dyDescent="0.25">
      <c r="A206" s="1"/>
      <c r="D206" s="2"/>
      <c r="E206" s="3"/>
      <c r="F206" s="3"/>
      <c r="G206" s="3"/>
    </row>
    <row r="207" spans="1:7" x14ac:dyDescent="0.25">
      <c r="A207" s="1"/>
      <c r="D207" s="2"/>
      <c r="E207" s="3"/>
      <c r="F207" s="3"/>
      <c r="G207" s="3"/>
    </row>
    <row r="208" spans="1:7" x14ac:dyDescent="0.25">
      <c r="A208" s="1"/>
      <c r="D208" s="2"/>
      <c r="E208" s="3"/>
      <c r="F208" s="3"/>
      <c r="G208" s="3"/>
    </row>
    <row r="209" spans="1:7" x14ac:dyDescent="0.25">
      <c r="A209" s="1"/>
      <c r="D209" s="2"/>
      <c r="E209" s="3"/>
      <c r="F209" s="3"/>
      <c r="G209" s="3"/>
    </row>
    <row r="210" spans="1:7" x14ac:dyDescent="0.25">
      <c r="A210" s="1"/>
      <c r="D210" s="2"/>
      <c r="E210" s="3"/>
      <c r="F210" s="3"/>
      <c r="G210" s="3"/>
    </row>
    <row r="211" spans="1:7" x14ac:dyDescent="0.25">
      <c r="A211" s="1"/>
      <c r="D211" s="2"/>
      <c r="E211" s="3"/>
      <c r="F211" s="3"/>
      <c r="G211" s="3"/>
    </row>
    <row r="212" spans="1:7" x14ac:dyDescent="0.25">
      <c r="A212" s="1"/>
      <c r="D212" s="2"/>
      <c r="E212" s="3"/>
      <c r="F212" s="3"/>
      <c r="G212" s="3"/>
    </row>
    <row r="213" spans="1:7" x14ac:dyDescent="0.25">
      <c r="A213" s="1"/>
      <c r="D213" s="2"/>
      <c r="E213" s="3"/>
      <c r="F213" s="3"/>
      <c r="G213" s="3"/>
    </row>
    <row r="214" spans="1:7" x14ac:dyDescent="0.25">
      <c r="A214" s="1"/>
      <c r="D214" s="2"/>
      <c r="E214" s="3"/>
      <c r="F214" s="3"/>
      <c r="G214" s="3"/>
    </row>
    <row r="215" spans="1:7" x14ac:dyDescent="0.25">
      <c r="D215" s="2"/>
      <c r="E215" s="3"/>
      <c r="F215" s="3"/>
      <c r="G215" s="3"/>
    </row>
    <row r="216" spans="1:7" x14ac:dyDescent="0.25">
      <c r="D216" s="2"/>
      <c r="E216" s="3"/>
      <c r="F216" s="3"/>
      <c r="G216" s="3"/>
    </row>
    <row r="217" spans="1:7" x14ac:dyDescent="0.25">
      <c r="D217" s="2"/>
      <c r="E217" s="3"/>
      <c r="F217" s="3"/>
      <c r="G217" s="3"/>
    </row>
    <row r="218" spans="1:7" x14ac:dyDescent="0.25">
      <c r="D218" s="2"/>
      <c r="E218" s="3"/>
      <c r="F218" s="3"/>
      <c r="G218" s="3"/>
    </row>
    <row r="219" spans="1:7" x14ac:dyDescent="0.25">
      <c r="D219" s="2"/>
      <c r="E219" s="3"/>
      <c r="F219" s="3"/>
      <c r="G219" s="3"/>
    </row>
    <row r="220" spans="1:7" x14ac:dyDescent="0.25">
      <c r="D220" s="2"/>
      <c r="E220" s="3"/>
      <c r="F220" s="3"/>
      <c r="G220" s="3"/>
    </row>
    <row r="221" spans="1:7" x14ac:dyDescent="0.25">
      <c r="D221" s="2"/>
      <c r="E221" s="3"/>
      <c r="F221" s="3"/>
      <c r="G221" s="3"/>
    </row>
    <row r="222" spans="1:7" x14ac:dyDescent="0.25">
      <c r="D222" s="2"/>
      <c r="E222" s="3"/>
      <c r="F222" s="3"/>
      <c r="G222" s="3"/>
    </row>
    <row r="223" spans="1:7" x14ac:dyDescent="0.25">
      <c r="D223" s="2"/>
      <c r="E223" s="3"/>
      <c r="F223" s="3"/>
      <c r="G223" s="3"/>
    </row>
    <row r="224" spans="1:7" x14ac:dyDescent="0.25">
      <c r="D224" s="2"/>
      <c r="E224" s="3"/>
      <c r="F224" s="3"/>
      <c r="G224" s="3"/>
    </row>
    <row r="225" spans="1:7" x14ac:dyDescent="0.25">
      <c r="D225" s="2"/>
      <c r="E225" s="3"/>
      <c r="F225" s="3"/>
      <c r="G225" s="3"/>
    </row>
    <row r="226" spans="1:7" x14ac:dyDescent="0.25">
      <c r="A226" s="1"/>
      <c r="D226" s="2"/>
      <c r="E226" s="3"/>
      <c r="F226" s="3"/>
      <c r="G226" s="3"/>
    </row>
    <row r="227" spans="1:7" x14ac:dyDescent="0.25">
      <c r="A227" s="1"/>
      <c r="D227" s="2"/>
      <c r="E227" s="3"/>
      <c r="F227" s="3"/>
      <c r="G227" s="3"/>
    </row>
    <row r="228" spans="1:7" x14ac:dyDescent="0.25">
      <c r="A228" s="1"/>
      <c r="D228" s="2"/>
      <c r="E228" s="3"/>
      <c r="F228" s="3"/>
      <c r="G228" s="3"/>
    </row>
    <row r="229" spans="1:7" x14ac:dyDescent="0.25">
      <c r="A229" s="1"/>
      <c r="D229" s="2"/>
      <c r="E229" s="3"/>
      <c r="F229" s="3"/>
      <c r="G229" s="3"/>
    </row>
    <row r="230" spans="1:7" x14ac:dyDescent="0.25">
      <c r="A230" s="1"/>
      <c r="D230" s="2"/>
      <c r="E230" s="3"/>
      <c r="F230" s="3"/>
      <c r="G230" s="3"/>
    </row>
    <row r="231" spans="1:7" x14ac:dyDescent="0.25">
      <c r="A231" s="1"/>
      <c r="D231" s="2"/>
      <c r="E231" s="3"/>
      <c r="F231" s="3"/>
      <c r="G231" s="3"/>
    </row>
    <row r="232" spans="1:7" x14ac:dyDescent="0.25">
      <c r="A232" s="1"/>
      <c r="D232" s="2"/>
      <c r="E232" s="3"/>
      <c r="F232" s="3"/>
      <c r="G232" s="3"/>
    </row>
    <row r="233" spans="1:7" x14ac:dyDescent="0.25">
      <c r="A233" s="1"/>
      <c r="D233" s="2"/>
      <c r="E233" s="3"/>
      <c r="F233" s="3"/>
      <c r="G233" s="3"/>
    </row>
    <row r="234" spans="1:7" x14ac:dyDescent="0.25">
      <c r="D234" s="2"/>
      <c r="E234" s="3"/>
      <c r="F234" s="3"/>
      <c r="G234" s="3"/>
    </row>
    <row r="235" spans="1:7" x14ac:dyDescent="0.25">
      <c r="D235" s="2"/>
      <c r="E235" s="3"/>
      <c r="F235" s="3"/>
      <c r="G235" s="3"/>
    </row>
    <row r="236" spans="1:7" x14ac:dyDescent="0.25">
      <c r="D236" s="2"/>
      <c r="E236" s="3"/>
      <c r="F236" s="3"/>
      <c r="G236" s="3"/>
    </row>
    <row r="237" spans="1:7" x14ac:dyDescent="0.25">
      <c r="D237" s="2"/>
      <c r="E237" s="3"/>
      <c r="F237" s="3"/>
      <c r="G237" s="3"/>
    </row>
    <row r="238" spans="1:7" x14ac:dyDescent="0.25">
      <c r="D238" s="2"/>
      <c r="E238" s="3"/>
      <c r="F238" s="3"/>
      <c r="G238" s="3"/>
    </row>
    <row r="239" spans="1:7" x14ac:dyDescent="0.25">
      <c r="D239" s="2"/>
      <c r="E239" s="3"/>
      <c r="F239" s="3"/>
      <c r="G239" s="3"/>
    </row>
    <row r="240" spans="1:7" x14ac:dyDescent="0.25">
      <c r="D240" s="2"/>
      <c r="E240" s="3"/>
      <c r="F240" s="3"/>
      <c r="G240" s="3"/>
    </row>
    <row r="241" spans="1:7" x14ac:dyDescent="0.25">
      <c r="D241" s="2"/>
      <c r="E241" s="3"/>
      <c r="F241" s="3"/>
      <c r="G241" s="3"/>
    </row>
    <row r="242" spans="1:7" x14ac:dyDescent="0.25">
      <c r="D242" s="2"/>
      <c r="E242" s="3"/>
      <c r="F242" s="3"/>
      <c r="G242" s="3"/>
    </row>
    <row r="243" spans="1:7" x14ac:dyDescent="0.25">
      <c r="D243" s="2"/>
      <c r="E243" s="3"/>
      <c r="F243" s="3"/>
      <c r="G243" s="3"/>
    </row>
    <row r="244" spans="1:7" x14ac:dyDescent="0.25">
      <c r="D244" s="2"/>
      <c r="E244" s="3"/>
      <c r="F244" s="3"/>
      <c r="G244" s="3"/>
    </row>
    <row r="245" spans="1:7" x14ac:dyDescent="0.25">
      <c r="D245" s="2"/>
      <c r="E245" s="3"/>
      <c r="F245" s="3"/>
      <c r="G245" s="3"/>
    </row>
    <row r="246" spans="1:7" x14ac:dyDescent="0.25">
      <c r="D246" s="2"/>
      <c r="E246" s="3"/>
      <c r="F246" s="3"/>
      <c r="G246" s="3"/>
    </row>
    <row r="247" spans="1:7" x14ac:dyDescent="0.25">
      <c r="D247" s="2"/>
      <c r="E247" s="3"/>
      <c r="F247" s="3"/>
      <c r="G247" s="3"/>
    </row>
    <row r="248" spans="1:7" x14ac:dyDescent="0.25">
      <c r="A248" s="1"/>
      <c r="D248" s="2"/>
      <c r="E248" s="3"/>
      <c r="F248" s="3"/>
      <c r="G248" s="3"/>
    </row>
    <row r="249" spans="1:7" x14ac:dyDescent="0.25">
      <c r="A249" s="1"/>
      <c r="D249" s="2"/>
      <c r="E249" s="3"/>
      <c r="F249" s="3"/>
      <c r="G249" s="3"/>
    </row>
    <row r="250" spans="1:7" x14ac:dyDescent="0.25">
      <c r="A250" s="1"/>
      <c r="D250" s="2"/>
      <c r="E250" s="3"/>
      <c r="F250" s="3"/>
      <c r="G250" s="3"/>
    </row>
    <row r="251" spans="1:7" x14ac:dyDescent="0.25">
      <c r="A251" s="1"/>
      <c r="D251" s="2"/>
      <c r="E251" s="3"/>
      <c r="F251" s="3"/>
      <c r="G251" s="3"/>
    </row>
    <row r="252" spans="1:7" x14ac:dyDescent="0.25">
      <c r="A252" s="1"/>
      <c r="D252" s="2"/>
      <c r="E252" s="3"/>
      <c r="F252" s="3"/>
      <c r="G252" s="3"/>
    </row>
    <row r="253" spans="1:7" x14ac:dyDescent="0.25">
      <c r="A253" s="1"/>
      <c r="D253" s="2"/>
      <c r="E253" s="3"/>
      <c r="F253" s="3"/>
      <c r="G253" s="3"/>
    </row>
    <row r="254" spans="1:7" x14ac:dyDescent="0.25">
      <c r="A254" s="1"/>
      <c r="D254" s="2"/>
      <c r="E254" s="3"/>
      <c r="F254" s="3"/>
      <c r="G254" s="3"/>
    </row>
    <row r="255" spans="1:7" x14ac:dyDescent="0.25">
      <c r="A255" s="1"/>
      <c r="D255" s="2"/>
      <c r="E255" s="3"/>
      <c r="F255" s="3"/>
      <c r="G255" s="3"/>
    </row>
    <row r="256" spans="1:7" x14ac:dyDescent="0.25">
      <c r="D256" s="2"/>
    </row>
  </sheetData>
  <hyperlinks>
    <hyperlink ref="L27" r:id="rId1" xr:uid="{C312EAC4-955D-4AE3-8048-29C4FC4EBD7D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Answer Report Q4</vt:lpstr>
      <vt:lpstr>Sensitivity Report Q4</vt:lpstr>
      <vt:lpstr>Limits Report Q4</vt:lpstr>
      <vt:lpstr>Answer Report Q6</vt:lpstr>
      <vt:lpstr>Sensitivity Report Q6</vt:lpstr>
      <vt:lpstr>Limits Report Q6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2025-02-17T10:21:10Z</dcterms:created>
  <dcterms:modified xsi:type="dcterms:W3CDTF">2025-03-10T19:00:03Z</dcterms:modified>
</cp:coreProperties>
</file>